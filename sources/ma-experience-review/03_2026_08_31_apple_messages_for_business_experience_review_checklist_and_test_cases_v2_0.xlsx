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Checklist" sheetId="2" r:id="rId6"/>
    <sheet state="visible" name="Legend" sheetId="3" r:id="rId7"/>
    <sheet state="visible" name="Apple Appendix A Scope" sheetId="4" r:id="rId8"/>
    <sheet state="visible" name="Apple Appendix B Readiness" sheetId="5" r:id="rId9"/>
  </sheets>
  <definedNames>
    <definedName hidden="1" localSheetId="1" name="_xlnm._FilterDatabase">Checklist!$A$1:$L$128</definedName>
  </definedNames>
  <calcPr/>
</workbook>
</file>

<file path=xl/sharedStrings.xml><?xml version="1.0" encoding="utf-8"?>
<sst xmlns="http://schemas.openxmlformats.org/spreadsheetml/2006/main" count="1307" uniqueCount="706">
  <si>
    <t>Apple Messages for Business</t>
  </si>
  <si>
    <t>Section</t>
  </si>
  <si>
    <t>Legend and instructions</t>
  </si>
  <si>
    <t>Experience Review, validation summary</t>
  </si>
  <si>
    <t>Fill in the Checklist tab. This tab rolls up automatically. Scope comes from the Scope tab.</t>
  </si>
  <si>
    <t>Ref</t>
  </si>
  <si>
    <t>Status breakdown</t>
  </si>
  <si>
    <t>Test case</t>
  </si>
  <si>
    <t>Test steps</t>
  </si>
  <si>
    <t>Expected result</t>
  </si>
  <si>
    <t>Status</t>
  </si>
  <si>
    <t>Appendix A. Use case scope</t>
  </si>
  <si>
    <t>Rule ref</t>
  </si>
  <si>
    <t>Applies when</t>
  </si>
  <si>
    <t>Severity</t>
  </si>
  <si>
    <t>How to use this template</t>
  </si>
  <si>
    <t>Count</t>
  </si>
  <si>
    <t>Evidence (video + mm:ss)</t>
  </si>
  <si>
    <t>Actual result</t>
  </si>
  <si>
    <t>Comments</t>
  </si>
  <si>
    <t>Not Started</t>
  </si>
  <si>
    <t>Apple, Messages for Business Use Cases</t>
  </si>
  <si>
    <t>0. Final Gate (checked on every Apple review, see the Legend for Apple's five)</t>
  </si>
  <si>
    <t>1. Duplicate all five tabs for each new client or brand experience. Summary and Checklist read each other by name, so keep them together.</t>
  </si>
  <si>
    <t>This mirrors Apple's own Use Cases form, which Apple asks brands to complete at the start of the engagement. Reproduced here so the answers sit alongside the tests they govern.</t>
  </si>
  <si>
    <t>Fill the shaded cells. What you record here is the scope for the Checklist and the shot list for the recordings. Every 'Applies when' condition on the Checklist reads against it.</t>
  </si>
  <si>
    <t>2. Fill in Appendix A first. It is the scope agreement, and it decides which rows apply. Appendix B is completed at the same stage but tests nothing.</t>
  </si>
  <si>
    <t>3. Work through the Checklist against the live build. Use the Status dropdown in column I.</t>
  </si>
  <si>
    <t>4. Mark a row N/A where the Applies when condition is not met on Appendix A.</t>
  </si>
  <si>
    <t>Company information</t>
  </si>
  <si>
    <t>5. Log evidence in column J as video and timestamp, for example V1 04:12. Exporting that column gives you the timestamp index Apple asks for alongside the recordings.</t>
  </si>
  <si>
    <t>6. Summary rolls up automatically. Formulas recalculate on open.</t>
  </si>
  <si>
    <t>Brand name</t>
  </si>
  <si>
    <t>7. Section 0 is a final pre-submission gate, not a re-test. It holds only the items not duplicated elsewhere. See the mapping below.</t>
  </si>
  <si>
    <t>The two appendices</t>
  </si>
  <si>
    <t>0.1</t>
  </si>
  <si>
    <t>Appendix A and Appendix B reproduce Apple's own brand facing forms, Messages for Business Use Cases and Messages for Business Readiness Review. Apple recommends that brands complete both at the start of the engagement. They are included here so the answers sit alongside the tests they govern. Appendix A drives which rows apply. Appendix B is commercial and operational qualification and tests nothing against the build.</t>
  </si>
  <si>
    <t>Reachable escalation</t>
  </si>
  <si>
    <t>Apple's five non-negotiables, and where each is tested</t>
  </si>
  <si>
    <t>Live agent escalation reachable, or the exempted path</t>
  </si>
  <si>
    <t>0.1, and Section 9</t>
  </si>
  <si>
    <t>Definition of success</t>
  </si>
  <si>
    <t>One major achievement this channel should deliver</t>
  </si>
  <si>
    <t>In Progress</t>
  </si>
  <si>
    <t>Confirm a live agent connection is reachable within stated hours, OR the exempted callback or in conversation message path is offered and works end to end (see Section 9).</t>
  </si>
  <si>
    <t>Escalation path is reachable and functional.</t>
  </si>
  <si>
    <t>2.3</t>
  </si>
  <si>
    <t>Always</t>
  </si>
  <si>
    <t>Non negotiable</t>
  </si>
  <si>
    <t>Opt-out works end to end</t>
  </si>
  <si>
    <t>0.4, and 10.8</t>
  </si>
  <si>
    <t>No personal data requested in plain conversation</t>
  </si>
  <si>
    <t>7.4 and 7.8</t>
  </si>
  <si>
    <t>Consent captured before any opt-in notification</t>
  </si>
  <si>
    <t>10.1 and 10.2</t>
  </si>
  <si>
    <t>Requested launch date</t>
  </si>
  <si>
    <t>Capability aware fallback</t>
  </si>
  <si>
    <t>Provider or MSP</t>
  </si>
  <si>
    <t>8.1, 8.2 and 8.5</t>
  </si>
  <si>
    <t>Entry points in scope</t>
  </si>
  <si>
    <t>Pass</t>
  </si>
  <si>
    <t>Section 0 also carries two further gate items that are not among Apple's five but fail a review on their own: Leave Conversation respected (0.2) and no forbidden or restricted platform wording (0.3).</t>
  </si>
  <si>
    <t>Website Messages button</t>
  </si>
  <si>
    <t>Status values</t>
  </si>
  <si>
    <t>0.2</t>
  </si>
  <si>
    <t>Leave Conversation respected</t>
  </si>
  <si>
    <t>Fail</t>
  </si>
  <si>
    <t>Not yet tested</t>
  </si>
  <si>
    <t>End the conversation via Leave Conversation, then attempt to send from both the bot and a live agent.</t>
  </si>
  <si>
    <t>Both bot and human agent are blocked from sending; the business cannot re-engage until the user restarts.</t>
  </si>
  <si>
    <t>2.9</t>
  </si>
  <si>
    <t>Testing underway</t>
  </si>
  <si>
    <t>Meets the expected result</t>
  </si>
  <si>
    <t>No</t>
  </si>
  <si>
    <t>Does not meet the expected result</t>
  </si>
  <si>
    <t>0.3</t>
  </si>
  <si>
    <t>Blocked</t>
  </si>
  <si>
    <t>No forbidden or restricted platform wording</t>
  </si>
  <si>
    <t>Cannot be tested yet</t>
  </si>
  <si>
    <t>Review every piece of bot copy, template text, interface label, localisation bundle, onboarding copy and spoken narration in the recording.</t>
  </si>
  <si>
    <t>N/A</t>
  </si>
  <si>
    <t>No use of "iMessage", "AMB", "Apple Chat", "chat" or "text" as a channel name, and no wording implying Apple endorses the brand. Correct product naming throughout.</t>
  </si>
  <si>
    <t>Applies when condition not met for this build</t>
  </si>
  <si>
    <t>2.12</t>
  </si>
  <si>
    <t>Message Suggest</t>
  </si>
  <si>
    <t>Requires client testing</t>
  </si>
  <si>
    <t>Only the client can verify, for example agent training</t>
  </si>
  <si>
    <t>Registered phone numbers, allow 5 to 7 days to propagate</t>
  </si>
  <si>
    <t>TBD</t>
  </si>
  <si>
    <t>Scope or expectation not yet agreed</t>
  </si>
  <si>
    <t>App Messages button</t>
  </si>
  <si>
    <t>0.4</t>
  </si>
  <si>
    <t>Social media links</t>
  </si>
  <si>
    <t>Checked on every Apple review. A failure blocks submission.</t>
  </si>
  <si>
    <t>Trigger STOP / UNSUBSCRIBE / QUIT from an active, opted-in conversation.</t>
  </si>
  <si>
    <t>Apple standard</t>
  </si>
  <si>
    <t>Both bot and live agent stop sending immediately; opt-out applies brand-wide, not just the current thread; re-engagement requires a fresh opt-in.</t>
  </si>
  <si>
    <t>A documented Apple requirement. A failure is very likely to be returned.</t>
  </si>
  <si>
    <t>IVR deflection</t>
  </si>
  <si>
    <t>Field</t>
  </si>
  <si>
    <t>A Messaging Advisory observation. A failure is a quality risk, not an Apple rule.</t>
  </si>
  <si>
    <t>Apple Maps</t>
  </si>
  <si>
    <t>Reading the Ref column</t>
  </si>
  <si>
    <t>1. Pre-Test and Review Readiness</t>
  </si>
  <si>
    <t>QR codes</t>
  </si>
  <si>
    <t>A reference shown in blue is new in this version. Rule ref points at the section of Document 2, the Conversation Design Standards and Best Practices, that the row tests. Doc 1 and Doc 4 references point at the Process Overview and the Recording Guide.</t>
  </si>
  <si>
    <t>Version and sources</t>
  </si>
  <si>
    <t>Wallet passes</t>
  </si>
  <si>
    <t>Template version</t>
  </si>
  <si>
    <t>2.0</t>
  </si>
  <si>
    <t>Business Invitations</t>
  </si>
  <si>
    <t>Date</t>
  </si>
  <si>
    <t>31 August 2026</t>
  </si>
  <si>
    <t>1.1</t>
  </si>
  <si>
    <t>Drives rows 2.3, 2.4, 2.5</t>
  </si>
  <si>
    <t>Apple Messages for Business account connected and delivering</t>
  </si>
  <si>
    <t>Derived from</t>
  </si>
  <si>
    <t>Confirm the account is connected and send a test message.</t>
  </si>
  <si>
    <t>Conversation Design Standards and Best Practices v2.1</t>
  </si>
  <si>
    <t>Message delivery is confirmed end to end.</t>
  </si>
  <si>
    <t>Other, specify</t>
  </si>
  <si>
    <t>Doc 1 s4</t>
  </si>
  <si>
    <t>Scope tab mirrors</t>
  </si>
  <si>
    <t>Apple, Messages for Business Use Cases form</t>
  </si>
  <si>
    <t>Previous version</t>
  </si>
  <si>
    <t>63 test cases, 12 sections</t>
  </si>
  <si>
    <t>1.2</t>
  </si>
  <si>
    <t>Commercial account access restricted</t>
  </si>
  <si>
    <t>This version</t>
  </si>
  <si>
    <t>Check Account Testing then Advanced settings.</t>
  </si>
  <si>
    <t>114 test cases, 13 sections: 54 carried unchanged, 10 reworded or widened, 50 new</t>
  </si>
  <si>
    <t>Total test cases</t>
  </si>
  <si>
    <t>Access is restricted to authorized Apple IDs used for testing.</t>
  </si>
  <si>
    <t>Also derived from</t>
  </si>
  <si>
    <t>General features in scope</t>
  </si>
  <si>
    <t>Experience items in the MSP Integration Checklist, Apple Feedback Update 25 August 2026</t>
  </si>
  <si>
    <t>1.3</t>
  </si>
  <si>
    <t>All registered use cases are testable</t>
  </si>
  <si>
    <t>Cross-check the approved use case list on Appendix A against scenarios available in the test build.</t>
  </si>
  <si>
    <t>Automated welcome message</t>
  </si>
  <si>
    <t>Every submitted use case has a corresponding, working flow in the test environment.</t>
  </si>
  <si>
    <t>Satisfaction survey</t>
  </si>
  <si>
    <t>Pass rate of tested (Pass + Fail)</t>
  </si>
  <si>
    <t>Drives rows 10.5, 10.6</t>
  </si>
  <si>
    <t>1.4</t>
  </si>
  <si>
    <t>All entry points are functional</t>
  </si>
  <si>
    <t>Authentication</t>
  </si>
  <si>
    <t>Test each entry point marked in scope on Appendix A (URL button, Message Suggest, Apple Maps, Wallet, QR or App Store link, Business Invitation, IVR deflection, social).</t>
  </si>
  <si>
    <t>Each entry point opens a Messages conversation with the correct business account and correct routing context.</t>
  </si>
  <si>
    <t>2.13</t>
  </si>
  <si>
    <t>Drives rows 5.3, 7.1, 7.2</t>
  </si>
  <si>
    <t>Notifications and enrolment</t>
  </si>
  <si>
    <t>Drives Section 10</t>
  </si>
  <si>
    <t>Live agent</t>
  </si>
  <si>
    <t>1.5</t>
  </si>
  <si>
    <t>Agents trained, and an introduction script is defined</t>
  </si>
  <si>
    <t>Drives Section 9, and rows 1.5, 3.7, 8.4</t>
  </si>
  <si>
    <t>Confirm with the client that live agent staff have been briefed, and review the written agent introduction script.</t>
  </si>
  <si>
    <t>Agents are prepared and trained for the channel and the relevant use cases, and a consistent introduction script exists.</t>
  </si>
  <si>
    <t>Multilingual</t>
  </si>
  <si>
    <t>Live agent in scope</t>
  </si>
  <si>
    <t>Drives rows 3.16, 3.17</t>
  </si>
  <si>
    <t>Account data returned in conversation</t>
  </si>
  <si>
    <t>Drives row 7.2</t>
  </si>
  <si>
    <t>Enhanced features in scope</t>
  </si>
  <si>
    <t>1.6</t>
  </si>
  <si>
    <t>Quick Reply</t>
  </si>
  <si>
    <t>Drives row 4.13</t>
  </si>
  <si>
    <t>Tested on macOS as well as iPhone</t>
  </si>
  <si>
    <t>List Picker</t>
  </si>
  <si>
    <t>Run the primary use case from the Messages app on a Mac signed in to the same Apple ID.</t>
  </si>
  <si>
    <t>Drives rows 5.4, 5.5</t>
  </si>
  <si>
    <t>The experience works on macOS. iPhone is the priority platform, but macOS is also tested before submission.</t>
  </si>
  <si>
    <t>Time Picker</t>
  </si>
  <si>
    <t>Drives rows 5.12, 5.13</t>
  </si>
  <si>
    <t>Form</t>
  </si>
  <si>
    <t>Drives rows 5.6 to 5.10</t>
  </si>
  <si>
    <t>1.7</t>
  </si>
  <si>
    <t>Apple Pay</t>
  </si>
  <si>
    <t>Baseline metrics planned before launch</t>
  </si>
  <si>
    <t>Confirm with the client which metrics are captured and from when.</t>
  </si>
  <si>
    <t>Non-negotiable gate</t>
  </si>
  <si>
    <t>Drives rows 5.3, 7.3</t>
  </si>
  <si>
    <t>Response times, resolution rates and satisfaction baselines are planned before launch, not after.</t>
  </si>
  <si>
    <t>2.15</t>
  </si>
  <si>
    <t>Rich Links</t>
  </si>
  <si>
    <t>Failed or blocked non-negotiables</t>
  </si>
  <si>
    <t>Video Rich Links</t>
  </si>
  <si>
    <t>2. Entry Points and Passable Context</t>
  </si>
  <si>
    <t>Drives row 4.5</t>
  </si>
  <si>
    <t>Maps or Apple Music payloads</t>
  </si>
  <si>
    <t>Drives row 4.6</t>
  </si>
  <si>
    <t>Embedded app experience</t>
  </si>
  <si>
    <t>2.1</t>
  </si>
  <si>
    <t>Entry point routing lands in the correct flow</t>
  </si>
  <si>
    <t>Open the conversation from each of the brand's registered entry points (for example two different QR codes for two different stores or intents).</t>
  </si>
  <si>
    <t>Each entry point routes to the correct, distinct flow, not the same generic flow regardless of source.</t>
  </si>
  <si>
    <t>Attachments: PDF, image, video</t>
  </si>
  <si>
    <t>Drives row 6.1</t>
  </si>
  <si>
    <t>Wallet passes issued in conversation</t>
  </si>
  <si>
    <t>Drives row 6.2</t>
  </si>
  <si>
    <t>2.2</t>
  </si>
  <si>
    <t>Use cases</t>
  </si>
  <si>
    <t>Bot confirms context received from entry point</t>
  </si>
  <si>
    <t>Open a conversation from an entry point carrying routing context (store, product or campaign reference).</t>
  </si>
  <si>
    <t>The opening message reflects the context received, for example "I see you're asking about [Store or Product X]", rather than a generic greeting.</t>
  </si>
  <si>
    <t>2.4</t>
  </si>
  <si>
    <t>Any entry point carrying context</t>
  </si>
  <si>
    <t>Business Invitation opt-in gate and decline handling</t>
  </si>
  <si>
    <t>Use case 1</t>
  </si>
  <si>
    <t>Attempt to send a Business Invitation to a number that has not opted in; then send a valid test invite and respond "No" or decline.</t>
  </si>
  <si>
    <t>Platform requires opt-in coverage before sending; a decline is correctly registered and that user is not messaged again.</t>
  </si>
  <si>
    <t>Description, and the enhanced features it uses</t>
  </si>
  <si>
    <t>Business Invitations in scope</t>
  </si>
  <si>
    <t>Use case 2</t>
  </si>
  <si>
    <t>Use case 3</t>
  </si>
  <si>
    <t>Invitation opt-out present in every Business Update</t>
  </si>
  <si>
    <t>Use case 4</t>
  </si>
  <si>
    <t>Review every Business Invitation and Business Update message the brand sends.</t>
  </si>
  <si>
    <t>Opt-out instructions appear in every single Business Update message, not just the first.</t>
  </si>
  <si>
    <t>Any non-zero count here means the submission is not ready. These are checked on every Apple review.</t>
  </si>
  <si>
    <t>Coverage</t>
  </si>
  <si>
    <t>2.5</t>
  </si>
  <si>
    <t>A "Yes" on a Business Invitation is followed by a welcome that explains what was accepted</t>
  </si>
  <si>
    <t>Rows in scope (not N/A)</t>
  </si>
  <si>
    <t>Accept a Business Invitation and read the next message.</t>
  </si>
  <si>
    <t>An agent message welcomes the customer and states plainly what they signed up for, for example what notifications will be sent and how often.</t>
  </si>
  <si>
    <t>2.6</t>
  </si>
  <si>
    <t>3. Agent Identification, Honesty and Triage</t>
  </si>
  <si>
    <t>3.1</t>
  </si>
  <si>
    <t>First response within 5 seconds, with typing indicator</t>
  </si>
  <si>
    <t>Send the first message of a new conversation and time the automated reply.</t>
  </si>
  <si>
    <t>A typing indicator appears first, then the automated response arrives within 5 seconds total.</t>
  </si>
  <si>
    <t>3.2</t>
  </si>
  <si>
    <t>Bot self-identifies as automated on entry</t>
  </si>
  <si>
    <t>Rows marked N/A</t>
  </si>
  <si>
    <t>Review the opening automated message.</t>
  </si>
  <si>
    <t>Message clearly and plainly states it is an automated agent, not implied or buried.</t>
  </si>
  <si>
    <t>3.3</t>
  </si>
  <si>
    <t>The opener states the assistant's name and what it covers</t>
  </si>
  <si>
    <t>Read the opening message after the disclosure.</t>
  </si>
  <si>
    <t>The opener names the assistant and states its scope, for example "I'm [NAME], here to help with orders, delivery and returns". Disclosure followed only by "what can we help you with?" does not satisfy this.</t>
  </si>
  <si>
    <t>3.4</t>
  </si>
  <si>
    <t>Bot answers truthfully when asked if it is a bot</t>
  </si>
  <si>
    <t>At multiple points in the conversation ask directly: "are you a bot?", "am I talking to a real person?", "are you AI?"</t>
  </si>
  <si>
    <t>Rows with recording evidence logged</t>
  </si>
  <si>
    <t>Bot always answers truthfully that it is automated. It never claims to be human or dodges the question.</t>
  </si>
  <si>
    <t>3.5</t>
  </si>
  <si>
    <t>Typing indicator before every outbound message, including rich features</t>
  </si>
  <si>
    <t>Step through a multi-message bot flow, including back-to-back sequences with no user input between them (enrollment confirmations, status updates, summaries, quick replies, forms).</t>
  </si>
  <si>
    <t>A typing indicator appears before every single outbound payload, not just the first, including one-off notifications, attachments, rich and interactive bubbles, the Authentication card and Apple Pay.</t>
  </si>
  <si>
    <t>In-scope rows still without evidence</t>
  </si>
  <si>
    <t>3.6</t>
  </si>
  <si>
    <t>Typing indicator never hangs or misleads</t>
  </si>
  <si>
    <t>Have a live agent leave a typing indicator active for an extended period without sending.</t>
  </si>
  <si>
    <t>Indicator resolves or refreshes sensibly rather than hanging indefinitely and implying an imminent reply that never comes.</t>
  </si>
  <si>
    <t>3.7</t>
  </si>
  <si>
    <t>Live agent messages also carry a typing indicator</t>
  </si>
  <si>
    <t>During a live agent exchange, watch the customer device while the agent composes.</t>
  </si>
  <si>
    <t>The typing indicator appears on the customer side for agent messages as well as bot messages.</t>
  </si>
  <si>
    <t>3.8</t>
  </si>
  <si>
    <t>Triage menu appears when intent is unclear</t>
  </si>
  <si>
    <t>Send an ambiguous opening message such as "hi".</t>
  </si>
  <si>
    <t>Bot offers a Quick Reply triage menu of up to five options instead of guessing or forcing free text.</t>
  </si>
  <si>
    <t>3.9</t>
  </si>
  <si>
    <t>Triage menu leads with the most common options</t>
  </si>
  <si>
    <t>Compare the order of the menu options against real demand data.</t>
  </si>
  <si>
    <t>Fails by severity</t>
  </si>
  <si>
    <t>The most common reasons customers make contact appear first, and the list reflects real demand rather than an internal org chart.</t>
  </si>
  <si>
    <t>3.10</t>
  </si>
  <si>
    <t>A clearly written intent is answered rather than overridden by the menu</t>
  </si>
  <si>
    <t>Open the conversation with a specific, unambiguous request.</t>
  </si>
  <si>
    <t>The bot answers what was asked. It does not discard the stated intent and present the triage menu instead.</t>
  </si>
  <si>
    <t>3.11</t>
  </si>
  <si>
    <t>A route to a person appears on every menu</t>
  </si>
  <si>
    <t>Review every triage menu and sub-menu in the experience.</t>
  </si>
  <si>
    <t>Each menu includes an option to reach a person, or the agreed alternative path.</t>
  </si>
  <si>
    <t>3.12</t>
  </si>
  <si>
    <t>Triage is never more than two levels deep</t>
  </si>
  <si>
    <t>Walk the deepest menu path in the design.</t>
  </si>
  <si>
    <t>No path requires more than two menu selections before reaching a task or a person.</t>
  </si>
  <si>
    <t>3.13</t>
  </si>
  <si>
    <t>Actionable keywords trigger the defined behaviour</t>
  </si>
  <si>
    <t>Send AGENT, REPRESENTATIVE, HELP and MENU, in mixed case and with surrounding whitespace.</t>
  </si>
  <si>
    <t>Each keyword triggers its defined behaviour. Matching is case insensitive and tolerates whitespace. AGENT and REPRESENTATIVE escalate, HELP gives contextual help, MENU returns the triage menu.</t>
  </si>
  <si>
    <t>3.14</t>
  </si>
  <si>
    <t>Recovery re-offers options and escalates after one clarification</t>
  </si>
  <si>
    <t>Send an input the bot cannot classify, then send a second unclassifiable input.</t>
  </si>
  <si>
    <t>The bot apologises, says plainly it did not understand, and re-offers two or three options as a Quick Reply with at least one route to a person. On the second failure it escalates rather than looping.</t>
  </si>
  <si>
    <t>Fails by category</t>
  </si>
  <si>
    <t>3.15</t>
  </si>
  <si>
    <t>Recovery wording varies rather than repeating identically</t>
  </si>
  <si>
    <t>Category</t>
  </si>
  <si>
    <t>Send three consecutive inputs the bot cannot classify.</t>
  </si>
  <si>
    <t>Fail count</t>
  </si>
  <si>
    <t>The recovery message is not the exact same sentence every time. Repetition of an identical failure message reads as a broken loop.</t>
  </si>
  <si>
    <t>3.16</t>
  </si>
  <si>
    <t>Device locale drives language, and any switch is confirmed first</t>
  </si>
  <si>
    <t>Set the device to a supported non-default locale and open a conversation. Then write in a different supported language.</t>
  </si>
  <si>
    <t>The conversation opens in the device locale. A detected language change is confirmed with a Quick Reply before switching.</t>
  </si>
  <si>
    <t>Multilingual in scope</t>
  </si>
  <si>
    <t>3.17</t>
  </si>
  <si>
    <t>The conversation never opens by asking which language the customer wants</t>
  </si>
  <si>
    <t>Read the opening message.</t>
  </si>
  <si>
    <t>Language is read from the device, never asked for.</t>
  </si>
  <si>
    <t>3.18</t>
  </si>
  <si>
    <t>Off-hours automated message is accurate and non-deceptive</t>
  </si>
  <si>
    <t>Message the account, or request a live agent, outside of stated business hours.</t>
  </si>
  <si>
    <t>Automated message explains the business is closed and states expected response time or business hours, without pretending a person is available.</t>
  </si>
  <si>
    <t>3.19</t>
  </si>
  <si>
    <t>Off-hours notice is triggered at the right moment</t>
  </si>
  <si>
    <t>Attempt to reach a live agent outside business hours, as distinct from simply messaging the bot outside hours.</t>
  </si>
  <si>
    <t>The out-of-hours notice fires specifically when the user tries to connect to a live agent outside messaging hours, not generically at the start of any off-hours conversation.</t>
  </si>
  <si>
    <t>3.20</t>
  </si>
  <si>
    <t>Welcome message tone matches brand</t>
  </si>
  <si>
    <t>Review the welcome and greeting copy against brand voice guidelines.</t>
  </si>
  <si>
    <t>Tone is warm, on-brand, and not robotic or legalistic.</t>
  </si>
  <si>
    <t>4. Core Messaging, Rich Links and Close</t>
  </si>
  <si>
    <t>4.1</t>
  </si>
  <si>
    <t>Rich Links used for all URLs</t>
  </si>
  <si>
    <t>Review every message containing a URL, from the bot and from live agents.</t>
  </si>
  <si>
    <t>All URLs are sent as Rich Links. Plain-text and "tap-to-load" text links are not used anywhere.</t>
  </si>
  <si>
    <t>2.7</t>
  </si>
  <si>
    <t>4.2</t>
  </si>
  <si>
    <t>Rich Link logo image is properly sized</t>
  </si>
  <si>
    <t>Inspect the image used for any Rich Link built from a logo.</t>
  </si>
  <si>
    <t>Image is square or a rectangle with width under 150px, so it renders as a clean icon rather than a cropped or blurry preview.</t>
  </si>
  <si>
    <t>4.3</t>
  </si>
  <si>
    <t>Rich Link preview asset meets Apple's specification</t>
  </si>
  <si>
    <t>Inspect the preview asset file for a content Rich Link.</t>
  </si>
  <si>
    <t>PNG, optimised at 240 by 240 pixels, up to 200 kB. This is separate from the 150 pixel icon ceiling.</t>
  </si>
  <si>
    <t>4.4</t>
  </si>
  <si>
    <t>Every Rich Link image reflects the destination page</t>
  </si>
  <si>
    <t>Open each Rich Link and compare the preview image to the page it opens.</t>
  </si>
  <si>
    <t>The image reflects the page content rather than being a generic logo placeholder. Where the destination has no Open Graph image, one is generated before sending.</t>
  </si>
  <si>
    <t>4.5</t>
  </si>
  <si>
    <t>Video Rich Links have a background image</t>
  </si>
  <si>
    <t>Send every video Rich Link in the experience and view it on device.</t>
  </si>
  <si>
    <t>The preview renders with a background image. A black preview is a fast route to a review finding.</t>
  </si>
  <si>
    <t>Video Rich Links in scope</t>
  </si>
  <si>
    <t>4.6</t>
  </si>
  <si>
    <t>Maps and Apple Music are sent through Construct Payload</t>
  </si>
  <si>
    <t>Trigger any flow that shares a location or a music link.</t>
  </si>
  <si>
    <t>Maps and Apple Music are sent as Construct Payload, not as a Rich Link.</t>
  </si>
  <si>
    <t>Appendix B. Readiness Review</t>
  </si>
  <si>
    <t>Maps or Music in scope</t>
  </si>
  <si>
    <t>5. Interactive Features</t>
  </si>
  <si>
    <t>Apple, Messages for Business Readiness Review</t>
  </si>
  <si>
    <t>4.7</t>
  </si>
  <si>
    <t>Rich Link is followed by a message or call to action</t>
  </si>
  <si>
    <t>Send a Rich Link and observe what follows.</t>
  </si>
  <si>
    <t>A follow-up message with a clear call to action follows the Rich Link. It is not left to sit on its own.</t>
  </si>
  <si>
    <t>This mirrors Apple's own Readiness Review form, which Apple asks brands to complete before scope alignment. It qualifies the channel commercially and operationally. Nothing here is tested against a build.</t>
  </si>
  <si>
    <t>4.8</t>
  </si>
  <si>
    <t>Unclassified input never lands in silence</t>
  </si>
  <si>
    <t>Send one unclear or unsupported input and observe the immediate response.</t>
  </si>
  <si>
    <t>Fill the shaded cells. The containment figure and the cost per inquiry bands are the two answers Apple returns to most often, so give real numbers.</t>
  </si>
  <si>
    <t>The bot never stays silent. It responds with a clear, polite recovery message and a way forward. (Branch-level dead ends are tested separately at 10.7.)</t>
  </si>
  <si>
    <t>6. Attachments and Wallet Passes</t>
  </si>
  <si>
    <t>4.9</t>
  </si>
  <si>
    <t>"Anything else?" close prompt</t>
  </si>
  <si>
    <t>Complete a use case end to end and observe the closing message.</t>
  </si>
  <si>
    <t>Bot asks if the user needs further assistance, optionally with a follow-up Quick Reply, rather than abruptly ending the flow.</t>
  </si>
  <si>
    <t>4.10</t>
  </si>
  <si>
    <t>No prohibited closing phrases</t>
  </si>
  <si>
    <t>Review all conversation-ending copy.</t>
  </si>
  <si>
    <t>Phrases like "This conversation has been closed", "Finish conversation", "Messaging rates may apply" and "Data rates may apply" are not used. Closing language leaves the door open for future contact.</t>
  </si>
  <si>
    <t>Industry vertical</t>
  </si>
  <si>
    <t>2.10</t>
  </si>
  <si>
    <t>Country of headquarters</t>
  </si>
  <si>
    <t>4.11</t>
  </si>
  <si>
    <t>Country coverage</t>
  </si>
  <si>
    <t>No repeated requests for information already given</t>
  </si>
  <si>
    <t>7. Authentication, Apple Pay and Personal Data</t>
  </si>
  <si>
    <t>Provide information such as name or email earlier in the flow, then continue to a step that would normally ask for it again.</t>
  </si>
  <si>
    <t>The bot does not ask the user to repeat information already captured earlier in the conversation.</t>
  </si>
  <si>
    <t>Digital priorities</t>
  </si>
  <si>
    <t>Digital deflection from the contact centre to self serve tools</t>
  </si>
  <si>
    <t>High, Medium or Low</t>
  </si>
  <si>
    <t>Driving consumer iOS app adoption</t>
  </si>
  <si>
    <t>8. Device Capability and Fallback</t>
  </si>
  <si>
    <t>Increasing customer experience metrics</t>
  </si>
  <si>
    <t>4.12</t>
  </si>
  <si>
    <t>Proper casing throughout</t>
  </si>
  <si>
    <t>Review all message copy.</t>
  </si>
  <si>
    <t>Reducing operational cost to sell and serve customers</t>
  </si>
  <si>
    <t>9. Human Escalation and Live Agent Handoff</t>
  </si>
  <si>
    <t>All messages use proper casing. Messages sent entirely in lowercase are flagged as poor customer experience regardless of brand voice.</t>
  </si>
  <si>
    <t>General call deflection from voice to digital channels</t>
  </si>
  <si>
    <t>4.13</t>
  </si>
  <si>
    <t>Digital shift from web or live chat to asynchronous messaging</t>
  </si>
  <si>
    <t>Quick Reply summaryText is a short label</t>
  </si>
  <si>
    <t>Review the summary text each Quick Reply echoes back into the transcript.</t>
  </si>
  <si>
    <t>Creating a digital sales engagement channel</t>
  </si>
  <si>
    <t>summaryText is short and label-based, for example "Option selected". It does not repeat the full previous message and is never used as the introduction to the Quick Reply.</t>
  </si>
  <si>
    <t>10. Policy, Consent and Conversational Design</t>
  </si>
  <si>
    <t>Improving collaboration between the contact centre and physical store or branch locations</t>
  </si>
  <si>
    <t>Quick Reply in scope</t>
  </si>
  <si>
    <t>Securing conversation history for regulatory and internal audit purposes</t>
  </si>
  <si>
    <t>Strategy and operations</t>
  </si>
  <si>
    <t>A digital messaging platform is already in place</t>
  </si>
  <si>
    <t>5.1</t>
  </si>
  <si>
    <t>Every interactive option carries a thumbnail or icon</t>
  </si>
  <si>
    <t>Review every receivedMessage, replyMessage, and each individual option in a List Picker.</t>
  </si>
  <si>
    <t>Each includes a thumbnail image or icon making it clearly recognizable as a tappable UI element. SF Symbols where symbols are used.</t>
  </si>
  <si>
    <t>11. Recording and Submission Prep</t>
  </si>
  <si>
    <t>Any interactive feature in scope</t>
  </si>
  <si>
    <t>If yes, name the vendor in the notes column</t>
  </si>
  <si>
    <t>The digital messaging strategy is defined and executive sponsored</t>
  </si>
  <si>
    <t>5.2</t>
  </si>
  <si>
    <t>The rich card itself carries its own image</t>
  </si>
  <si>
    <t>Inspect the card that carries each interactive element, separately from the row thumbnails.</t>
  </si>
  <si>
    <t>The business already engages customers in live or asynchronous messaging</t>
  </si>
  <si>
    <t>The card has an image of its own. Row thumbnails do not satisfy this. A Form splash screen needs one too. This is the single most commonly missed rule.</t>
  </si>
  <si>
    <t>The strategy includes AI or automation led conversations</t>
  </si>
  <si>
    <t>5.3</t>
  </si>
  <si>
    <t>No brand card image forced onto Apple Pay or Authentication</t>
  </si>
  <si>
    <t>Inspect the Apple Pay sheet and the Authentication card.</t>
  </si>
  <si>
    <t>Neither carries a brand card image. Both render with Apple's own supplied iconography.</t>
  </si>
  <si>
    <t>Apple Pay or Authentication in scope</t>
  </si>
  <si>
    <t>If yes, state the anticipated containment percentage</t>
  </si>
  <si>
    <t>12. Entry Point Configuration, Buttons and Readiness</t>
  </si>
  <si>
    <t>Volume and economics</t>
  </si>
  <si>
    <t>5.4</t>
  </si>
  <si>
    <t>List Picker versus Quick Reply used appropriately</t>
  </si>
  <si>
    <t>Anticipated containment from conversational AI</t>
  </si>
  <si>
    <t>Review each menu presented to the user.</t>
  </si>
  <si>
    <t>Percentage</t>
  </si>
  <si>
    <t>List Pickers are used only where there is genuine category variation. Five or fewer flat options use a Quick Reply instead. Bounded questions are answered by a Quick Reply rather than typed text.</t>
  </si>
  <si>
    <t>List Picker in scope</t>
  </si>
  <si>
    <t>Expected daily conversation capacity at launch</t>
  </si>
  <si>
    <t>Growth goal, daily conversations at 12 months</t>
  </si>
  <si>
    <t>5.5</t>
  </si>
  <si>
    <t>List Picker items carry subtitles and secondary text</t>
  </si>
  <si>
    <t>Review the rows of every List Picker.</t>
  </si>
  <si>
    <t>Growth goal, daily conversations at 24 months</t>
  </si>
  <si>
    <t>Rows show a subtitle, and second or third subtitle lines where the choice needs them, so each row can be told apart at a glance. Titles alone force the customer to guess. Visible copy stays short; the rendered string caps near 200 characters.</t>
  </si>
  <si>
    <t>Cost per inquiry, voice</t>
  </si>
  <si>
    <t>Band: 1 to 3, 4 to 8, 9 to 12, 12 plus</t>
  </si>
  <si>
    <t>Cost per inquiry, digital</t>
  </si>
  <si>
    <t>5.6</t>
  </si>
  <si>
    <t>Forms include splash screen, title, intro and review screen</t>
  </si>
  <si>
    <t>Step through every Form Message in the experience.</t>
  </si>
  <si>
    <t>Each form has a splash screen, a title, an introductory description, and a final review screen before submission.</t>
  </si>
  <si>
    <t>Share of the digital customer base on Apple devices</t>
  </si>
  <si>
    <t>Form in scope</t>
  </si>
  <si>
    <t>Under 50%, 50 to 75%, over 75%</t>
  </si>
  <si>
    <t>Live agents dedicated exclusively to this channel</t>
  </si>
  <si>
    <t>Yes or No</t>
  </si>
  <si>
    <t>5.7</t>
  </si>
  <si>
    <t>The Form review page sits at the end of the final section</t>
  </si>
  <si>
    <t>Step through a multi-page Form to the end.</t>
  </si>
  <si>
    <t>The Review button sits at the end of the final section to be filled, not in the middle of the flow.</t>
  </si>
  <si>
    <t>Multi-page Form in scope</t>
  </si>
  <si>
    <t>5.8</t>
  </si>
  <si>
    <t>Form context set in a conversational bubble first</t>
  </si>
  <si>
    <t>Review the message immediately preceding each form.</t>
  </si>
  <si>
    <t>The "why" for the form is stated in a conversational bubble before the form opens, not buried in the form's subtitle where it can be cropped.</t>
  </si>
  <si>
    <t>5.9</t>
  </si>
  <si>
    <t>Simple one or two field forms use plain text conversational flow</t>
  </si>
  <si>
    <t>Identify any form collecting only one or two fields, such as name and email.</t>
  </si>
  <si>
    <t>A plain-text conversational exchange is used instead of a formal Form object.</t>
  </si>
  <si>
    <t>5.10</t>
  </si>
  <si>
    <t>Sensitive Form responses are marked private</t>
  </si>
  <si>
    <t>Inspect the payload for any form field taking sensitive data.</t>
  </si>
  <si>
    <t>Responses that carry sensitive data are marked private.</t>
  </si>
  <si>
    <t>Form taking sensitive data</t>
  </si>
  <si>
    <t>5.11</t>
  </si>
  <si>
    <t>Introductory text precedes every rich element</t>
  </si>
  <si>
    <t>Observe the message immediately before every Time Picker, List Picker, Form, Quick Reply, Rich Link, Authentication card and Apple Pay request.</t>
  </si>
  <si>
    <t>A brief conversational message sets expectations before the interactive bubble appears. This includes Authentication and Apple Pay, for example "Please log into your account" before the Authentication card.</t>
  </si>
  <si>
    <t>5.12</t>
  </si>
  <si>
    <t>Time Picker confirmation includes a save-to-calendar tip</t>
  </si>
  <si>
    <t>Complete a booking flow through a Time Picker.</t>
  </si>
  <si>
    <t>The confirmation message tells the user they can tap their selected time to save it to their Apple Calendar.</t>
  </si>
  <si>
    <t>Time Picker in scope</t>
  </si>
  <si>
    <t>5.13</t>
  </si>
  <si>
    <t>Time Picker carries a location and an explicit time zone</t>
  </si>
  <si>
    <t>Inspect the Time Picker payload for an appointment that happens somewhere.</t>
  </si>
  <si>
    <t>The location is populated so the venue name and map pin render inside the picker and travel with the calendar entry. The intended time zone is stated in the payload rather than inferred.</t>
  </si>
  <si>
    <t>5.14</t>
  </si>
  <si>
    <t>A shared location is acknowledged and reflected back</t>
  </si>
  <si>
    <t>Share a location from the compose bar mid-conversation.</t>
  </si>
  <si>
    <t>The next message acknowledges it and reflects back the resolved address or place name so the customer can correct it before anything is dispatched on it. It never lands in silence.</t>
  </si>
  <si>
    <t>5.15</t>
  </si>
  <si>
    <t>The confirmation image after a tap stays within the icon ceiling</t>
  </si>
  <si>
    <t>Tap an interactive element and inspect the confirmation that comes back.</t>
  </si>
  <si>
    <t>The user_confirmation image stays within about 150 pixels wide, so the thread reads as a question and an acknowledgement rather than two competing cards.</t>
  </si>
  <si>
    <t>5.16</t>
  </si>
  <si>
    <t>Long text kept outside feature bubbles</t>
  </si>
  <si>
    <t>Review any feature bubble containing more than a short label.</t>
  </si>
  <si>
    <t>Long text is sent as a separate message outside the bubble. The first line of any feature bubble is its title, since longer text gets cropped.</t>
  </si>
  <si>
    <t>6.1</t>
  </si>
  <si>
    <t>Attachments render correctly and are relevant</t>
  </si>
  <si>
    <t>Trigger every flow that sends an image, PDF, or other attachment.</t>
  </si>
  <si>
    <t>Attachment renders correctly on-device and is directly relevant to the step in the flow.</t>
  </si>
  <si>
    <t>Attachments in scope</t>
  </si>
  <si>
    <t>6.2</t>
  </si>
  <si>
    <t>Wallet passes generate and add correctly</t>
  </si>
  <si>
    <t>Trigger a flow that issues a Wallet pass and tap to add it.</t>
  </si>
  <si>
    <t>Pass generates with correct details and adds to Apple Wallet end to end without errors.</t>
  </si>
  <si>
    <t>Wallet passes in scope</t>
  </si>
  <si>
    <t>7.1</t>
  </si>
  <si>
    <t>Authentication used for identity verification</t>
  </si>
  <si>
    <t>Trigger a flow requiring identity or login verification.</t>
  </si>
  <si>
    <t>The Authentication message type with inline OAuth 2.0 and password autofill is used, rather than collecting credentials as plain chat text.</t>
  </si>
  <si>
    <t>2.8</t>
  </si>
  <si>
    <t>Authentication in scope</t>
  </si>
  <si>
    <t>7.2</t>
  </si>
  <si>
    <t>Authentication precedes any account data being shared</t>
  </si>
  <si>
    <t>Ask for an order status, an account detail or a balance without signing in first.</t>
  </si>
  <si>
    <t>No order detail, account data or balance is returned until the customer has authenticated. This is a positive obligation, not only a prohibition.</t>
  </si>
  <si>
    <t>Account data in scope</t>
  </si>
  <si>
    <t>7.3</t>
  </si>
  <si>
    <t>Apple Pay used for payment collection</t>
  </si>
  <si>
    <t>Trigger a flow that requires payment.</t>
  </si>
  <si>
    <t>Apple Pay is used to collect payment. Full card numbers are never requested as plain text.</t>
  </si>
  <si>
    <t>Apple Pay in scope</t>
  </si>
  <si>
    <t>7.4</t>
  </si>
  <si>
    <t>Personal data request is gated by a clarifying question</t>
  </si>
  <si>
    <t>Trigger a flow that asks for name, email or contact details.</t>
  </si>
  <si>
    <t>A yes or no clarifying question precedes the request, for example "Is your inquiry related to your account with us?". Details are collected only on a yes.</t>
  </si>
  <si>
    <t>7.5</t>
  </si>
  <si>
    <t>Data collection prompts use the QuickType phrasings</t>
  </si>
  <si>
    <t>Read the exact wording of every prompt asking for customer data.</t>
  </si>
  <si>
    <t>Prompts use Apple's phrasings exactly, so iOS surfaces a QuickType suggestion and no typing is required.</t>
  </si>
  <si>
    <t>7.6</t>
  </si>
  <si>
    <t>No health data collected, echoed, or stored</t>
  </si>
  <si>
    <t>Trigger a flow where a user might disclose a health condition or diagnosis.</t>
  </si>
  <si>
    <t>The bot declines to engage with the health detail, does not echo it back, and nothing is logged or stored downstream. Confirm this explicitly with the client rather than assuming.</t>
  </si>
  <si>
    <t>2.11</t>
  </si>
  <si>
    <t>7.7</t>
  </si>
  <si>
    <t>Privacy Policy and Terms of Use are Rich Links, sent only twice</t>
  </si>
  <si>
    <t>Trigger a first engagement, then a second and third conversation.</t>
  </si>
  <si>
    <t>Both are sent as Rich Links to the brand's webpage, never pasted inline, and only on first engagement or after a policy update. Never at the start of every conversation.</t>
  </si>
  <si>
    <t>7.8</t>
  </si>
  <si>
    <t>No sensitive data is ever requested as plain text</t>
  </si>
  <si>
    <t>Walk every flow that collects customer data, and review the agent console templates as well as the bot flows.</t>
  </si>
  <si>
    <t>No full card number, no government ID number, no full social security number and no account password is requested in the thread. Identity goes through Authentication, payment through Apple Pay, and structured sensitive intake through a Form with private responses.</t>
  </si>
  <si>
    <t>Where sensitive data is collected</t>
  </si>
  <si>
    <t>8.1</t>
  </si>
  <si>
    <t>Fallback happens automatically and live</t>
  </si>
  <si>
    <t>Run the same use case on an unsupported device or OS version.</t>
  </si>
  <si>
    <t>The experience swaps live, at send time, to a supported alternative, demonstrated on-device rather than described.</t>
  </si>
  <si>
    <t>Doc 4</t>
  </si>
  <si>
    <t>8.2</t>
  </si>
  <si>
    <t>Fallback path is not a dead end</t>
  </si>
  <si>
    <t>Reach the fallback path and attempt to continue the use case.</t>
  </si>
  <si>
    <t>The user can still complete or meaningfully progress the use case through the fallback path.</t>
  </si>
  <si>
    <t>8.3</t>
  </si>
  <si>
    <t>Capability data is read on every inbound, not cached once</t>
  </si>
  <si>
    <t>Send from one device, then send from a second device on the same Apple ID with different capabilities.</t>
  </si>
  <si>
    <t>The capability list is parsed on every inbound message and the most recent value is stored against the device, so a device switch changes what can be sent.</t>
  </si>
  <si>
    <t>8.4</t>
  </si>
  <si>
    <t>The console cannot send what the device will not render</t>
  </si>
  <si>
    <t>In the agent console, open a conversation with a device that lacks a feature in scope.</t>
  </si>
  <si>
    <t>The unsupported option is hidden or hard disabled for that recipient, so an agent cannot send something the device cannot render.</t>
  </si>
  <si>
    <t>8.5</t>
  </si>
  <si>
    <t>The fallback decision tree is documented</t>
  </si>
  <si>
    <t>Ask to see the written fallback tree, not only its behaviour on device.</t>
  </si>
  <si>
    <t>A documented tree exists covering every interactive type in scope: the preferred type, the fallback type or sequence, the OS floor that triggers it, and the customer facing copy variant. It is versioned and kept current. Reviewers may ask to see the tree itself.</t>
  </si>
  <si>
    <t>2.9 note</t>
  </si>
  <si>
    <t>9.1</t>
  </si>
  <si>
    <t>Handoff to a live agent is explicitly stated</t>
  </si>
  <si>
    <t>Trigger escalation to a live agent.</t>
  </si>
  <si>
    <t>The transition is explicitly communicated, and the agent introduces themselves on joining. The reason for the transfer is given.</t>
  </si>
  <si>
    <t>9.2</t>
  </si>
  <si>
    <t>Wait time is communicated</t>
  </si>
  <si>
    <t>Trigger escalation when no agent is immediately available.</t>
  </si>
  <si>
    <t>An estimated wait time is communicated, with queue position where available.</t>
  </si>
  <si>
    <t>9.3</t>
  </si>
  <si>
    <t>Key details are collected before escalation</t>
  </si>
  <si>
    <t>Escalate mid-task and observe what the agent receives.</t>
  </si>
  <si>
    <t>Essential information is gathered before routing, so the agent can help without re-asking.</t>
  </si>
  <si>
    <t>9.4</t>
  </si>
  <si>
    <t>An in conversation message is the first option when no agent is available</t>
  </si>
  <si>
    <t>Request a person while the team is offline or at capacity.</t>
  </si>
  <si>
    <t>Leaving a message in the conversation is offered first, with a stated response window. Callback and email are offered afterwards, never as the first option.</t>
  </si>
  <si>
    <t>9.5</t>
  </si>
  <si>
    <t>Out-of-hours escalation stays in-thread</t>
  </si>
  <si>
    <t>Request a live agent outside business hours.</t>
  </si>
  <si>
    <t>The user can leave a message within the current thread. They are not forced out to an external email system, and an agent replies to that message in the same thread.</t>
  </si>
  <si>
    <t>9.6</t>
  </si>
  <si>
    <t>Contextual escalation stays in-channel</t>
  </si>
  <si>
    <t>Trigger a flow where an email to support would be drafted on the user's behalf.</t>
  </si>
  <si>
    <t>The bot helps compose the email within the channel rather than abruptly shifting the user away from the conversation.</t>
  </si>
  <si>
    <t>Email escalation in scope</t>
  </si>
  <si>
    <t>9.7</t>
  </si>
  <si>
    <t>First response service level is documented</t>
  </si>
  <si>
    <t>Confirm with the client what the committed first-response time for a live agent is.</t>
  </si>
  <si>
    <t>A specific figure is documented and available to reference if Apple asks.</t>
  </si>
  <si>
    <t>9.8</t>
  </si>
  <si>
    <t>The agent console experience is good on both sides</t>
  </si>
  <si>
    <t>Sit with an agent through a real escalation and watch both the console and the device.</t>
  </si>
  <si>
    <t>The customer feels responsiveness. The agent can read the thread easily and send what the conversation needs, including rich elements, without friction. A slow or awkward console shows up on the customer's screen as silence and plain text.</t>
  </si>
  <si>
    <t>9.9</t>
  </si>
  <si>
    <t>The escalation acknowledgement states a specific commitment</t>
  </si>
  <si>
    <t>Escalate, choose the offered path, and read the acknowledgement message.</t>
  </si>
  <si>
    <t>The confirmation states what happens next and when, with a specific figure, for example "a team member will call you within two business hours". A vague acknowledgement such as "someone will be in touch" is a review finding.</t>
  </si>
  <si>
    <t>10.1</t>
  </si>
  <si>
    <t>Opt-in captured before non-transactional notifications</t>
  </si>
  <si>
    <t>Reach any flow that would enroll the customer in ongoing automated notifications.</t>
  </si>
  <si>
    <t>Explicit opt-in is captured as an active tap before enrollment, and the record persists brand, channel, purpose, destination, source, timestamp and disclosure version.</t>
  </si>
  <si>
    <t>Notifications in scope</t>
  </si>
  <si>
    <t>10.2</t>
  </si>
  <si>
    <t>The enrolment template carries its own opt out instruction</t>
  </si>
  <si>
    <t>Read the enrolment and confirmation message templates.</t>
  </si>
  <si>
    <t>The opt out instruction sits in the template itself, not only in the moment of consent. Apple's shape: welcome, brand name, automated disclosure, then "Reply STOP anytime to turn off notifications."</t>
  </si>
  <si>
    <t>10.3</t>
  </si>
  <si>
    <t>STOP re-entry shows a "Welcome back" message</t>
  </si>
  <si>
    <t>Opt out via STOP, then message the brand again to re-subscribe.</t>
  </si>
  <si>
    <t>The bot recognizes the re-entry and responds with a "Welcome back" style message.</t>
  </si>
  <si>
    <t>10.4</t>
  </si>
  <si>
    <t>Restarting restores reply permission, not notification consent</t>
  </si>
  <si>
    <t>Opt out of notifications, then start a fresh conversation and complete a task.</t>
  </si>
  <si>
    <t>The brand may reply inside that conversation. It may not resume notifications. The two states reset separately.</t>
  </si>
  <si>
    <t>10.5</t>
  </si>
  <si>
    <t>Satisfaction survey timing and format</t>
  </si>
  <si>
    <t>Complete an individual FAQ interaction, then complete a full end-to-end use case, then close a conversation. Review the survey itself.</t>
  </si>
  <si>
    <t>A survey fires only after a real resolution. Not after every FAQ answer, not before the task is resolved, and never after a close, a Leave Conversation or an opt out. It uses descriptive labels rather than a bare one to five scale, delivered as a Quick Reply, or a Form Message for a multi question survey.</t>
  </si>
  <si>
    <t>Survey in scope</t>
  </si>
  <si>
    <t>10.6</t>
  </si>
  <si>
    <t>Channel constraints on unsolicited surveys respected</t>
  </si>
  <si>
    <t>Check whether the brand has a protective agreement affecting unsolicited messages to its end users, for example school districts and parent inboxes.</t>
  </si>
  <si>
    <t>Where such agreements exist, survey timing is controlled by the brand or institution rather than fired automatically.</t>
  </si>
  <si>
    <t>10.7</t>
  </si>
  <si>
    <t>No dead ends anywhere in the flow</t>
  </si>
  <si>
    <t>Walk every branch of the conversation design, including error and edge-case paths. (Single unclassified inputs are tested at 4.8.)</t>
  </si>
  <si>
    <t>Every path has a clear next step, a fallback, or an escalation route. Never a dead end.</t>
  </si>
  <si>
    <t>10.8</t>
  </si>
  <si>
    <t>No unsolicited outbound</t>
  </si>
  <si>
    <t>Review every outbound path the platform can fire: campaigns, scheduled sends, retries, replays, notification jobs and agent console templates. Attempt an outbound to a customer with no open conversation and no accepted invitation.</t>
  </si>
  <si>
    <t>Outbound is only sent inside an ongoing customer initiated conversation, or through an approved Business Invitation template. No SMS style marketing blasts and no unsolicited sends. Reviewers actively look for this.</t>
  </si>
  <si>
    <t>11.1</t>
  </si>
  <si>
    <t>Recorded on a real iPhone, not a simulator</t>
  </si>
  <si>
    <t>Confirm the recording device before capture.</t>
  </si>
  <si>
    <t>Recording is captured on a physical, supported iPhone. Simulators are not used for the submitted recording.</t>
  </si>
  <si>
    <t>11.2</t>
  </si>
  <si>
    <t>All rehearsal threads deleted before final recording</t>
  </si>
  <si>
    <t>Review the conversation thread list immediately before recording.</t>
  </si>
  <si>
    <t>No leftover rehearsal or test threads are visible. Only the clean take is recorded.</t>
  </si>
  <si>
    <t>11.3</t>
  </si>
  <si>
    <t>Recording shows the customer point of view</t>
  </si>
  <si>
    <t>Review the recording setup.</t>
  </si>
  <si>
    <t>The recording captures the customer's device screen. Backend logs are not shown. The one exception is the live agent sequence, which is filmed side by side with the console.</t>
  </si>
  <si>
    <t>11.4</t>
  </si>
  <si>
    <t>Recording demonstrates all required elements</t>
  </si>
  <si>
    <t>Review the full recording against Appendix A.</t>
  </si>
  <si>
    <t>The recording shows the rich features in scope, the live agent interaction, and out of hours messaging and fallback.</t>
  </si>
  <si>
    <t>11.5</t>
  </si>
  <si>
    <t>Recording split into multiple parts if long</t>
  </si>
  <si>
    <t>Assess total recording length against a single-take format.</t>
  </si>
  <si>
    <t>If the journey is long, the recording is split into clearly labelled parts rather than forced into one continuous take.</t>
  </si>
  <si>
    <t>11.6</t>
  </si>
  <si>
    <t>Timestamp index submitted alongside the videos</t>
  </si>
  <si>
    <t>Export the Evidence column of this checklist.</t>
  </si>
  <si>
    <t>A timestamp list accompanies the videos, one line per demonstrated item: video, time, and what it shows.</t>
  </si>
  <si>
    <t>11.7</t>
  </si>
  <si>
    <t>Change summary prepared for resubmissions</t>
  </si>
  <si>
    <t>Before resubmitting after feedback, prepare accompanying documentation.</t>
  </si>
  <si>
    <t>A summary references each feedback item by its ID or description and explains how it was resolved.</t>
  </si>
  <si>
    <t>Doc 1 s7</t>
  </si>
  <si>
    <t>Resubmission only</t>
  </si>
  <si>
    <t>11.8</t>
  </si>
  <si>
    <t>All feedback items addressed before resubmission</t>
  </si>
  <si>
    <t>Cross-check every item on Apple's feedback report against the fix log.</t>
  </si>
  <si>
    <t>Every feedback item is addressed. Partial fixes are not submitted, since they typically trigger another review round and delay launch.</t>
  </si>
  <si>
    <t>12.1</t>
  </si>
  <si>
    <t>Every entry point carries an Intent ID</t>
  </si>
  <si>
    <t>Inspect the URL behind each entry point in scope.</t>
  </si>
  <si>
    <t>Every entry point carries a distinct biz-intent-id, and a biz-group-id where routing applies.</t>
  </si>
  <si>
    <t>12.2</t>
  </si>
  <si>
    <t>Entry point URLs contain no reserved characters</t>
  </si>
  <si>
    <t>Inspect each entry point URL for the characters &amp; # [ ] ( ) { } /</t>
  </si>
  <si>
    <t>No URI reserved characters appear inside parameter values.</t>
  </si>
  <si>
    <t>12.3</t>
  </si>
  <si>
    <t>The message body is pre filled where it helps</t>
  </si>
  <si>
    <t>Open each entry point and look at the compose field.</t>
  </si>
  <si>
    <t>A body parameter pre-populates the message so the customer only has to tap Send.</t>
  </si>
  <si>
    <t>12.4</t>
  </si>
  <si>
    <t>Buttons use one of Apple's four approved calls to action</t>
  </si>
  <si>
    <t>Review every Messages button placement.</t>
  </si>
  <si>
    <t>Buttons use Message Us, Contact an Agent, Ask a Question or Get Help, and Apple's assets are used as supplied without modification.</t>
  </si>
  <si>
    <t>2.14</t>
  </si>
  <si>
    <t>Website or app button in scope</t>
  </si>
  <si>
    <t>12.5</t>
  </si>
  <si>
    <t>Buttons are not enabled before the account is approved to go live</t>
  </si>
  <si>
    <t>Confirm the launch sequence with the client.</t>
  </si>
  <si>
    <t>No Messages button is live on any public surface until the account is approved.</t>
  </si>
  <si>
    <t>12.6</t>
  </si>
  <si>
    <t>Entry points stay enabled outside business hours</t>
  </si>
  <si>
    <t>Load each entry point outside stated hours.</t>
  </si>
  <si>
    <t>Buttons are not disabled out of hours. Automation handles the response.</t>
  </si>
  <si>
    <t>12.7</t>
  </si>
  <si>
    <t>Registered phone numbers are tappable and in E.164 format</t>
  </si>
  <si>
    <t>Inspect the phone numbers on the brand's website and profiles.</t>
  </si>
  <si>
    <t>Numbers are tappable and formatted E.164, so Message Suggest can attach to them.</t>
  </si>
  <si>
    <t>Message Suggest in scope</t>
  </si>
  <si>
    <t>12.8</t>
  </si>
  <si>
    <t>Response time expectations are set in the welcome message</t>
  </si>
  <si>
    <t>Read the welcome message.</t>
  </si>
  <si>
    <t>Realistic and honest expectations are stated up front, and communicated dynamically where live agent wait times vary.</t>
  </si>
  <si>
    <t>12.9</t>
  </si>
  <si>
    <t>Naming scanned beyond the conversation copy</t>
  </si>
  <si>
    <t>Search interface labels, onboarding copy, templates, marketing surfaces and localisation bundles.</t>
  </si>
  <si>
    <t>Correct product naming everywhere, not only in the flow. Where an interface needs an unknown contact label, it reads "Apple Messages contact", never "Apple Business Contact".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</si>
</sst>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2">
    <font>
      <sz val="11.0"/>
      <color theme="1"/>
      <name val="Calibri"/>
      <scheme val="minor"/>
    </font>
    <font>
      <b/>
      <sz val="16.0"/>
      <color rgb="FF1E48E8"/>
      <name val="Calibri"/>
    </font>
    <font>
      <b/>
      <sz val="10.0"/>
      <color rgb="FF333333"/>
      <name val="Calibri"/>
    </font>
    <font>
      <b/>
      <sz val="12.0"/>
      <color rgb="FF1E48E8"/>
      <name val="Calibri"/>
    </font>
    <font>
      <sz val="10.0"/>
      <color rgb="FF333333"/>
      <name val="Calibri"/>
    </font>
    <font>
      <b/>
      <sz val="18.0"/>
      <color rgb="FF1E48E8"/>
      <name val="Calibri"/>
    </font>
    <font>
      <b/>
      <sz val="13.0"/>
      <color rgb="FF1E48E8"/>
      <name val="Calibri"/>
    </font>
    <font>
      <i/>
      <sz val="10.0"/>
      <color rgb="FF333333"/>
      <name val="Calibri"/>
    </font>
    <font>
      <i/>
      <sz val="9.0"/>
      <color rgb="FF333333"/>
      <name val="Calibri"/>
    </font>
    <font>
      <color theme="1"/>
      <name val="Calibri"/>
      <scheme val="minor"/>
    </font>
    <font>
      <b/>
      <sz val="10.0"/>
      <color rgb="FF1E48E8"/>
      <name val="Calibri"/>
    </font>
    <font>
      <b/>
      <sz val="10.0"/>
      <color rgb="FFB3261E"/>
      <name val="Calibri"/>
    </font>
  </fonts>
  <fills count="5">
    <fill>
      <patternFill patternType="none"/>
    </fill>
    <fill>
      <patternFill patternType="lightGray"/>
    </fill>
    <fill>
      <patternFill patternType="solid">
        <fgColor rgb="FFEEF2FD"/>
        <bgColor rgb="FFEEF2FD"/>
      </patternFill>
    </fill>
    <fill>
      <patternFill patternType="solid">
        <fgColor rgb="FFDDE5FB"/>
        <bgColor rgb="FFDDE5FB"/>
      </patternFill>
    </fill>
    <fill>
      <patternFill patternType="solid">
        <fgColor rgb="FFFFFDF0"/>
        <bgColor rgb="FFFFFDF0"/>
      </patternFill>
    </fill>
  </fills>
  <borders count="3">
    <border/>
    <border>
      <left style="thin">
        <color rgb="FFD9DEE8"/>
      </left>
      <right style="thin">
        <color rgb="FFD9DEE8"/>
      </right>
      <top style="thin">
        <color rgb="FFD9DEE8"/>
      </top>
      <bottom style="thin">
        <color rgb="FFD9DEE8"/>
      </bottom>
    </border>
    <border>
      <left/>
      <right/>
      <top/>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shrinkToFit="0" vertical="bottom" wrapText="0"/>
    </xf>
    <xf borderId="1" fillId="2" fontId="2" numFmtId="0" xfId="0" applyAlignment="1" applyBorder="1" applyFill="1" applyFont="1">
      <alignment shrinkToFit="0" vertical="bottom" wrapText="1"/>
    </xf>
    <xf borderId="0" fillId="0" fontId="3" numFmtId="0" xfId="0" applyAlignment="1" applyFont="1">
      <alignment shrinkToFit="0" vertical="bottom" wrapText="0"/>
    </xf>
    <xf borderId="0" fillId="0" fontId="4" numFmtId="0" xfId="0" applyAlignment="1" applyFont="1">
      <alignment shrinkToFit="0" vertical="bottom" wrapText="0"/>
    </xf>
    <xf borderId="2" fillId="2" fontId="2" numFmtId="0" xfId="0" applyAlignment="1" applyBorder="1" applyFill="1" applyFont="1">
      <alignment shrinkToFit="0" vertical="bottom" wrapText="0"/>
    </xf>
    <xf borderId="0" fillId="0" fontId="5" numFmtId="0" xfId="0" applyAlignment="1" applyFont="1">
      <alignment shrinkToFit="0" vertical="bottom" wrapText="0"/>
    </xf>
    <xf borderId="0" fillId="0" fontId="3" numFmtId="0" xfId="0" applyAlignment="1" applyFont="1">
      <alignment shrinkToFit="0" vertical="top" wrapText="1"/>
    </xf>
    <xf borderId="0" fillId="0" fontId="6" numFmtId="0" xfId="0" applyAlignment="1" applyFont="1">
      <alignment shrinkToFit="0" vertical="bottom" wrapText="0"/>
    </xf>
    <xf borderId="1" fillId="3" fontId="2" numFmtId="0" xfId="0" applyAlignment="1" applyBorder="1" applyFill="1" applyFont="1">
      <alignment shrinkToFit="0" vertical="bottom" wrapText="0"/>
    </xf>
    <xf borderId="0" fillId="0" fontId="4" numFmtId="0" xfId="0" applyAlignment="1" applyFont="1">
      <alignment shrinkToFit="0" vertical="top" wrapText="1"/>
    </xf>
    <xf borderId="0" fillId="0" fontId="7" numFmtId="0" xfId="0" applyAlignment="1" applyFont="1">
      <alignment shrinkToFit="0" vertical="bottom" wrapText="0"/>
    </xf>
    <xf borderId="1" fillId="0" fontId="4" numFmtId="0" xfId="0" applyAlignment="1" applyBorder="1" applyFont="1">
      <alignment shrinkToFit="0" vertical="top" wrapText="1"/>
    </xf>
    <xf borderId="0" fillId="0" fontId="2" numFmtId="0" xfId="0" applyAlignment="1" applyFont="1">
      <alignment shrinkToFit="0" vertical="top" wrapText="0"/>
    </xf>
    <xf borderId="1" fillId="0" fontId="4" numFmtId="0" xfId="0" applyAlignment="1" applyBorder="1" applyFont="1">
      <alignment shrinkToFit="0" vertical="top" wrapText="0"/>
    </xf>
    <xf borderId="1" fillId="4" fontId="4" numFmtId="0" xfId="0" applyAlignment="1" applyBorder="1" applyFill="1" applyFont="1">
      <alignment shrinkToFit="0" vertical="top" wrapText="1"/>
    </xf>
    <xf borderId="0" fillId="0" fontId="2" numFmtId="0" xfId="0" applyAlignment="1" applyFont="1">
      <alignment horizontal="left" shrinkToFit="0" vertical="bottom" wrapText="0"/>
    </xf>
    <xf borderId="1" fillId="0" fontId="2" numFmtId="0" xfId="0" applyAlignment="1" applyBorder="1" applyFont="1">
      <alignment shrinkToFit="0" vertical="top" wrapText="1"/>
    </xf>
    <xf borderId="0" fillId="0" fontId="2" numFmtId="0" xfId="0" applyAlignment="1" applyFont="1">
      <alignment shrinkToFit="0" vertical="top" wrapText="1"/>
    </xf>
    <xf borderId="0" fillId="0" fontId="8" numFmtId="0" xfId="0" applyAlignment="1" applyFont="1">
      <alignment shrinkToFit="0" vertical="top" wrapText="1"/>
    </xf>
    <xf borderId="0" fillId="0" fontId="7" numFmtId="0" xfId="0" applyAlignment="1" applyFont="1">
      <alignment shrinkToFit="0" vertical="top" wrapText="1"/>
    </xf>
    <xf borderId="0" fillId="0" fontId="4" numFmtId="0" xfId="0" applyAlignment="1" applyFont="1">
      <alignment shrinkToFit="0" vertical="top" wrapText="0"/>
    </xf>
    <xf borderId="0" fillId="0" fontId="2" numFmtId="0" xfId="0" applyAlignment="1" applyFont="1">
      <alignment shrinkToFit="0" vertical="bottom" wrapText="0"/>
    </xf>
    <xf borderId="1" fillId="4" fontId="4" numFmtId="0" xfId="0" applyAlignment="1" applyBorder="1" applyFill="1" applyFont="1">
      <alignment shrinkToFit="0" vertical="bottom" wrapText="0"/>
    </xf>
    <xf borderId="0" fillId="0" fontId="9" numFmtId="0" xfId="0" applyFont="1"/>
    <xf borderId="1" fillId="0" fontId="10" numFmtId="0" xfId="0" applyAlignment="1" applyBorder="1" applyFont="1">
      <alignment shrinkToFit="0" vertical="top" wrapText="0"/>
    </xf>
    <xf borderId="0" fillId="0" fontId="2" numFmtId="164" xfId="0" applyAlignment="1" applyFont="1" applyNumberFormat="1">
      <alignment horizontal="left" shrinkToFit="0" vertical="bottom" wrapText="0"/>
    </xf>
    <xf borderId="0" fillId="0" fontId="11" numFmtId="0" xfId="0" applyAlignment="1" applyFont="1">
      <alignment horizontal="left" shrinkToFit="0" vertical="bottom" wrapText="0"/>
    </xf>
    <xf borderId="0" fillId="0" fontId="8" numFmtId="0" xfId="0" applyAlignment="1" applyFont="1">
      <alignment shrinkToFit="0" vertical="bottom" wrapText="0"/>
    </xf>
  </cellXfs>
  <cellStyles count="1">
    <cellStyle xfId="0" name="Normal" builtinId="0"/>
  </cellStyles>
  <dxfs count="5">
    <dxf>
      <font>
        <b/>
        <sz val="10.0"/>
        <color rgb="FF1B7A47"/>
        <name val="Calibri"/>
      </font>
      <fill>
        <patternFill patternType="solid">
          <fgColor rgb="FFE6F8EF"/>
          <bgColor rgb="FFE6F8EF"/>
        </patternFill>
      </fill>
      <border/>
    </dxf>
    <dxf>
      <font>
        <b/>
        <sz val="10.0"/>
        <color rgb="FFB3261E"/>
        <name val="Calibri"/>
      </font>
      <fill>
        <patternFill patternType="solid">
          <fgColor rgb="FFFDEAEA"/>
          <bgColor rgb="FFFDEAEA"/>
        </patternFill>
      </fill>
      <border/>
    </dxf>
    <dxf>
      <font>
        <b/>
        <sz val="10.0"/>
        <color rgb="FF8A5A00"/>
        <name val="Calibri"/>
      </font>
      <fill>
        <patternFill patternType="solid">
          <fgColor rgb="FFFFF4E0"/>
          <bgColor rgb="FFFFF4E0"/>
        </patternFill>
      </fill>
      <border/>
    </dxf>
    <dxf>
      <font>
        <sz val="10.0"/>
        <color rgb="FF8A8F98"/>
        <name val="Calibri"/>
      </font>
      <fill>
        <patternFill patternType="solid">
          <fgColor rgb="FFF2F3F5"/>
          <bgColor rgb="FFF2F3F5"/>
        </patternFill>
      </fill>
      <border/>
    </dxf>
    <dxf>
      <font>
        <b/>
        <sz val="10.0"/>
        <color rgb="FFB3261E"/>
        <name val="Calibri"/>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1638300" cy="733425"/>
    <xdr:pic>
      <xdr:nvPicPr>
        <xdr:cNvPr descr="Picture"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58.0"/>
    <col customWidth="1" min="3" max="3" width="14.0"/>
    <col customWidth="1" min="4" max="26" width="8.71"/>
  </cols>
  <sheetData>
    <row r="2">
      <c r="B2" s="1" t="s">
        <v>0</v>
      </c>
    </row>
    <row r="3">
      <c r="B3" s="3" t="s">
        <v>3</v>
      </c>
    </row>
    <row r="4">
      <c r="B4" s="4" t="s">
        <v>4</v>
      </c>
    </row>
    <row r="6">
      <c r="B6" s="3" t="s">
        <v>6</v>
      </c>
    </row>
    <row r="7">
      <c r="B7" s="5" t="s">
        <v>10</v>
      </c>
      <c r="C7" s="5" t="s">
        <v>16</v>
      </c>
    </row>
    <row r="8">
      <c r="B8" s="4" t="s">
        <v>20</v>
      </c>
      <c r="C8" s="16">
        <f>COUNTIF(Checklist!$I$3:$I$128,"Not Started")</f>
        <v>114</v>
      </c>
    </row>
    <row r="9">
      <c r="B9" s="4" t="s">
        <v>43</v>
      </c>
      <c r="C9" s="16">
        <f>COUNTIF(Checklist!$I$3:$I$128,"In Progress")</f>
        <v>0</v>
      </c>
    </row>
    <row r="10">
      <c r="B10" s="4" t="s">
        <v>60</v>
      </c>
      <c r="C10" s="16">
        <f>COUNTIF(Checklist!$I$3:$I$128,"Pass")</f>
        <v>0</v>
      </c>
    </row>
    <row r="11">
      <c r="B11" s="4" t="s">
        <v>66</v>
      </c>
      <c r="C11" s="16">
        <f>COUNTIF(Checklist!$I$3:$I$128,"Fail")</f>
        <v>0</v>
      </c>
    </row>
    <row r="12">
      <c r="B12" s="4" t="s">
        <v>76</v>
      </c>
      <c r="C12" s="16">
        <f>COUNTIF(Checklist!$I$3:$I$128,"Blocked")</f>
        <v>0</v>
      </c>
    </row>
    <row r="13">
      <c r="B13" s="4" t="s">
        <v>80</v>
      </c>
      <c r="C13" s="16">
        <f>COUNTIF(Checklist!$I$3:$I$128,"N/A")</f>
        <v>0</v>
      </c>
    </row>
    <row r="14">
      <c r="B14" s="4" t="s">
        <v>85</v>
      </c>
      <c r="C14" s="16">
        <f>COUNTIF(Checklist!$I$3:$I$128,"Requires client testing")</f>
        <v>0</v>
      </c>
    </row>
    <row r="15">
      <c r="B15" s="4" t="s">
        <v>88</v>
      </c>
      <c r="C15" s="16">
        <f>COUNTIF(Checklist!$I$3:$I$128,"TBD")</f>
        <v>0</v>
      </c>
    </row>
    <row r="16">
      <c r="B16" s="22" t="s">
        <v>131</v>
      </c>
      <c r="C16" s="16">
        <f>COUNTA(Checklist!$B$3:$B$128)</f>
        <v>114</v>
      </c>
    </row>
    <row r="17">
      <c r="B17" s="22" t="s">
        <v>142</v>
      </c>
      <c r="C17" s="26">
        <f>IFERROR(COUNTIF(Checklist!$I$3:$I$128,"Pass")/(COUNTIF(Checklist!$I$3:$I$128,"Pass")+COUNTIF(Checklist!$I$3:$I$128,"Fail")),0)</f>
        <v>0</v>
      </c>
    </row>
    <row r="19">
      <c r="B19" s="3" t="s">
        <v>181</v>
      </c>
    </row>
    <row r="20">
      <c r="B20" s="4" t="s">
        <v>186</v>
      </c>
      <c r="C20" s="27">
        <f>COUNTIFS(Checklist!$H$3:$H$128,"Non negotiable",Checklist!$I$3:$I$128,"Fail")+COUNTIFS(Checklist!$H$3:$H$128,"Non negotiable",Checklist!$I$3:$I$128,"Blocked")</f>
        <v>0</v>
      </c>
    </row>
    <row r="21" ht="15.75" customHeight="1">
      <c r="B21" s="28" t="s">
        <v>220</v>
      </c>
    </row>
    <row r="22" ht="15.75" customHeight="1"/>
    <row r="23" ht="15.75" customHeight="1">
      <c r="B23" s="3" t="s">
        <v>221</v>
      </c>
    </row>
    <row r="24" ht="15.75" customHeight="1">
      <c r="B24" s="4" t="s">
        <v>224</v>
      </c>
      <c r="C24" s="16">
        <f>COUNTA(Checklist!$B$3:$B$128)-COUNTIF(Checklist!$I$3:$I$128,"N/A")</f>
        <v>114</v>
      </c>
    </row>
    <row r="25" ht="15.75" customHeight="1">
      <c r="B25" s="4" t="s">
        <v>235</v>
      </c>
      <c r="C25" s="16">
        <f>COUNTIF(Checklist!$I$3:$I$128,"N/A")</f>
        <v>0</v>
      </c>
    </row>
    <row r="26" ht="15.75" customHeight="1">
      <c r="B26" s="4" t="s">
        <v>245</v>
      </c>
      <c r="C26" s="16">
        <f>COUNTA(Checklist!$J$3:$J$128)</f>
        <v>0</v>
      </c>
    </row>
    <row r="27" ht="15.75" customHeight="1">
      <c r="B27" s="4" t="s">
        <v>251</v>
      </c>
      <c r="C27" s="16">
        <f>COUNTA(Checklist!$B$3:$B$128)-COUNTIF(Checklist!$I$3:$I$128,"N/A")-COUNTA(Checklist!$J$3:$J$128)</f>
        <v>114</v>
      </c>
    </row>
    <row r="28" ht="15.75" customHeight="1"/>
    <row r="29" ht="15.75" customHeight="1">
      <c r="B29" s="3" t="s">
        <v>267</v>
      </c>
    </row>
    <row r="30" ht="15.75" customHeight="1">
      <c r="B30" s="4" t="s">
        <v>48</v>
      </c>
      <c r="C30" s="16">
        <f>COUNTIFS(Checklist!$H$3:$H$128,"Non negotiable",Checklist!$I$3:$I$128,"Fail")</f>
        <v>0</v>
      </c>
    </row>
    <row r="31" ht="15.75" customHeight="1">
      <c r="B31" s="4" t="s">
        <v>95</v>
      </c>
      <c r="C31" s="16">
        <f>COUNTIFS(Checklist!$H$3:$H$128,"Apple standard",Checklist!$I$3:$I$128,"Fail")</f>
        <v>0</v>
      </c>
    </row>
    <row r="32" ht="15.75" customHeight="1">
      <c r="B32" s="4" t="s">
        <v>99</v>
      </c>
      <c r="C32" s="16">
        <f>COUNTIFS(Checklist!$H$3:$H$128,"Field",Checklist!$I$3:$I$128,"Fail")</f>
        <v>0</v>
      </c>
    </row>
    <row r="33" ht="15.75" customHeight="1"/>
    <row r="34" ht="15.75" customHeight="1">
      <c r="B34" s="3" t="s">
        <v>289</v>
      </c>
    </row>
    <row r="35" ht="15.75" customHeight="1">
      <c r="B35" s="5" t="s">
        <v>292</v>
      </c>
      <c r="C35" s="5" t="s">
        <v>294</v>
      </c>
    </row>
    <row r="36" ht="15.75" customHeight="1">
      <c r="B36" s="10" t="s">
        <v>22</v>
      </c>
      <c r="C36" s="4">
        <f>COUNTIFS(Checklist!$A$3:$A$128,"0. Final Gate (checked on every Apple review, see the Legend for Apple's five)",Checklist!$I$3:$I$128,"Fail")</f>
        <v>0</v>
      </c>
    </row>
    <row r="37" ht="15.75" customHeight="1">
      <c r="B37" s="10" t="s">
        <v>103</v>
      </c>
      <c r="C37" s="4">
        <f>COUNTIFS(Checklist!$A$3:$A$128,"1. Pre-Test and Review Readiness",Checklist!$I$3:$I$128,"Fail")</f>
        <v>0</v>
      </c>
    </row>
    <row r="38" ht="15.75" customHeight="1">
      <c r="B38" s="10" t="s">
        <v>188</v>
      </c>
      <c r="C38" s="4">
        <f>COUNTIFS(Checklist!$A$3:$A$128,"2. Entry Points and Passable Context",Checklist!$I$3:$I$128,"Fail")</f>
        <v>0</v>
      </c>
    </row>
    <row r="39" ht="15.75" customHeight="1">
      <c r="B39" s="10" t="s">
        <v>228</v>
      </c>
      <c r="C39" s="4">
        <f>COUNTIFS(Checklist!$A$3:$A$128,"3. Agent Identification, Honesty and Triage",Checklist!$I$3:$I$128,"Fail")</f>
        <v>0</v>
      </c>
    </row>
    <row r="40" ht="15.75" customHeight="1">
      <c r="B40" s="10" t="s">
        <v>317</v>
      </c>
      <c r="C40" s="4">
        <f>COUNTIFS(Checklist!$A$3:$A$128,"4. Core Messaging, Rich Links and Close",Checklist!$I$3:$I$128,"Fail")</f>
        <v>0</v>
      </c>
    </row>
    <row r="41" ht="15.75" customHeight="1">
      <c r="B41" s="10" t="s">
        <v>346</v>
      </c>
      <c r="C41" s="4">
        <f>COUNTIFS(Checklist!$A$3:$A$128,"5. Interactive Features",Checklist!$I$3:$I$128,"Fail")</f>
        <v>0</v>
      </c>
    </row>
    <row r="42" ht="15.75" customHeight="1">
      <c r="B42" s="10" t="s">
        <v>358</v>
      </c>
      <c r="C42" s="4">
        <f>COUNTIFS(Checklist!$A$3:$A$128,"6. Attachments and Wallet Passes",Checklist!$I$3:$I$128,"Fail")</f>
        <v>0</v>
      </c>
    </row>
    <row r="43" ht="15.75" customHeight="1">
      <c r="B43" s="10" t="s">
        <v>373</v>
      </c>
      <c r="C43" s="4">
        <f>COUNTIFS(Checklist!$A$3:$A$128,"7. Authentication, Apple Pay and Personal Data",Checklist!$I$3:$I$128,"Fail")</f>
        <v>0</v>
      </c>
    </row>
    <row r="44" ht="15.75" customHeight="1">
      <c r="B44" s="10" t="s">
        <v>380</v>
      </c>
      <c r="C44" s="4">
        <f>COUNTIFS(Checklist!$A$3:$A$128,"8. Device Capability and Fallback",Checklist!$I$3:$I$128,"Fail")</f>
        <v>0</v>
      </c>
    </row>
    <row r="45" ht="15.75" customHeight="1">
      <c r="B45" s="10" t="s">
        <v>386</v>
      </c>
      <c r="C45" s="4">
        <f>COUNTIFS(Checklist!$A$3:$A$128,"9. Human Escalation and Live Agent Handoff",Checklist!$I$3:$I$128,"Fail")</f>
        <v>0</v>
      </c>
    </row>
    <row r="46" ht="15.75" customHeight="1">
      <c r="B46" s="10" t="s">
        <v>395</v>
      </c>
      <c r="C46" s="4">
        <f>COUNTIFS(Checklist!$A$3:$A$128,"10. Policy, Consent and Conversational Design",Checklist!$I$3:$I$128,"Fail")</f>
        <v>0</v>
      </c>
    </row>
    <row r="47" ht="15.75" customHeight="1">
      <c r="B47" s="10" t="s">
        <v>405</v>
      </c>
      <c r="C47" s="4">
        <f>COUNTIFS(Checklist!$A$3:$A$128,"11. Recording and Submission Prep",Checklist!$I$3:$I$128,"Fail")</f>
        <v>0</v>
      </c>
    </row>
    <row r="48" ht="15.75" customHeight="1">
      <c r="B48" s="10" t="s">
        <v>421</v>
      </c>
      <c r="C48" s="4">
        <f>COUNTIFS(Checklist!$A$3:$A$128,"12. Entry Point Configuration, Buttons and Readiness",Checklist!$I$3:$I$128,"Fail")</f>
        <v>0</v>
      </c>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38.57"/>
    <col customWidth="1" min="2" max="2" width="7.0"/>
    <col customWidth="1" min="3" max="3" width="40.0"/>
    <col customWidth="1" min="4" max="4" width="52.0"/>
    <col customWidth="1" min="5" max="5" width="60.0"/>
    <col customWidth="1" min="6" max="6" width="10.0"/>
    <col customWidth="1" min="7" max="7" width="26.0"/>
    <col customWidth="1" min="8" max="8" width="15.0"/>
    <col customWidth="1" min="9" max="9" width="17.0"/>
    <col customWidth="1" min="10" max="10" width="20.0"/>
    <col customWidth="1" min="11" max="11" width="34.0"/>
    <col customWidth="1" min="12" max="12" width="30.0"/>
    <col customWidth="1" min="13" max="26" width="8.71"/>
  </cols>
  <sheetData>
    <row r="1" ht="30.0" customHeight="1">
      <c r="A1" s="2" t="s">
        <v>1</v>
      </c>
      <c r="B1" s="2" t="s">
        <v>5</v>
      </c>
      <c r="C1" s="2" t="s">
        <v>7</v>
      </c>
      <c r="D1" s="2" t="s">
        <v>8</v>
      </c>
      <c r="E1" s="2" t="s">
        <v>9</v>
      </c>
      <c r="F1" s="2" t="s">
        <v>12</v>
      </c>
      <c r="G1" s="2" t="s">
        <v>13</v>
      </c>
      <c r="H1" s="2" t="s">
        <v>14</v>
      </c>
      <c r="I1" s="2" t="s">
        <v>10</v>
      </c>
      <c r="J1" s="2" t="s">
        <v>17</v>
      </c>
      <c r="K1" s="2" t="s">
        <v>18</v>
      </c>
      <c r="L1" s="2" t="s">
        <v>19</v>
      </c>
    </row>
    <row r="2" ht="21.75" customHeight="1">
      <c r="A2" s="9" t="s">
        <v>22</v>
      </c>
      <c r="B2" s="9"/>
      <c r="C2" s="9"/>
      <c r="D2" s="9"/>
      <c r="E2" s="9"/>
      <c r="F2" s="9"/>
      <c r="G2" s="9"/>
      <c r="H2" s="9"/>
      <c r="I2" s="9"/>
      <c r="J2" s="9"/>
      <c r="K2" s="9"/>
      <c r="L2" s="9"/>
    </row>
    <row r="3">
      <c r="A3" s="12" t="s">
        <v>22</v>
      </c>
      <c r="B3" s="14" t="s">
        <v>35</v>
      </c>
      <c r="C3" s="17" t="s">
        <v>37</v>
      </c>
      <c r="D3" s="12" t="s">
        <v>44</v>
      </c>
      <c r="E3" s="12" t="s">
        <v>45</v>
      </c>
      <c r="F3" s="14" t="s">
        <v>46</v>
      </c>
      <c r="G3" s="12" t="s">
        <v>47</v>
      </c>
      <c r="H3" s="14" t="s">
        <v>48</v>
      </c>
      <c r="I3" s="14" t="s">
        <v>20</v>
      </c>
      <c r="J3" s="14"/>
      <c r="K3" s="12"/>
      <c r="L3" s="12"/>
    </row>
    <row r="4">
      <c r="A4" s="12" t="s">
        <v>22</v>
      </c>
      <c r="B4" s="14" t="s">
        <v>64</v>
      </c>
      <c r="C4" s="17" t="s">
        <v>65</v>
      </c>
      <c r="D4" s="12" t="s">
        <v>68</v>
      </c>
      <c r="E4" s="12" t="s">
        <v>69</v>
      </c>
      <c r="F4" s="14" t="s">
        <v>70</v>
      </c>
      <c r="G4" s="12" t="s">
        <v>47</v>
      </c>
      <c r="H4" s="14" t="s">
        <v>48</v>
      </c>
      <c r="I4" s="14" t="s">
        <v>20</v>
      </c>
      <c r="J4" s="14"/>
      <c r="K4" s="12"/>
      <c r="L4" s="12"/>
    </row>
    <row r="5">
      <c r="A5" s="12" t="s">
        <v>22</v>
      </c>
      <c r="B5" s="14" t="s">
        <v>75</v>
      </c>
      <c r="C5" s="17" t="s">
        <v>77</v>
      </c>
      <c r="D5" s="12" t="s">
        <v>79</v>
      </c>
      <c r="E5" s="12" t="s">
        <v>81</v>
      </c>
      <c r="F5" s="14" t="s">
        <v>83</v>
      </c>
      <c r="G5" s="12" t="s">
        <v>47</v>
      </c>
      <c r="H5" s="14" t="s">
        <v>48</v>
      </c>
      <c r="I5" s="14" t="s">
        <v>20</v>
      </c>
      <c r="J5" s="14"/>
      <c r="K5" s="12"/>
      <c r="L5" s="12"/>
    </row>
    <row r="6">
      <c r="A6" s="12" t="s">
        <v>22</v>
      </c>
      <c r="B6" s="14" t="s">
        <v>91</v>
      </c>
      <c r="C6" s="17" t="s">
        <v>49</v>
      </c>
      <c r="D6" s="12" t="s">
        <v>94</v>
      </c>
      <c r="E6" s="12" t="s">
        <v>96</v>
      </c>
      <c r="F6" s="14" t="s">
        <v>70</v>
      </c>
      <c r="G6" s="12" t="s">
        <v>47</v>
      </c>
      <c r="H6" s="14" t="s">
        <v>48</v>
      </c>
      <c r="I6" s="14" t="s">
        <v>20</v>
      </c>
      <c r="J6" s="14"/>
      <c r="K6" s="12"/>
      <c r="L6" s="12"/>
    </row>
    <row r="7" ht="21.75" customHeight="1">
      <c r="A7" s="9" t="s">
        <v>103</v>
      </c>
      <c r="B7" s="9"/>
      <c r="C7" s="9"/>
      <c r="D7" s="9"/>
      <c r="E7" s="9"/>
      <c r="F7" s="9"/>
      <c r="G7" s="9"/>
      <c r="H7" s="9"/>
      <c r="I7" s="9"/>
      <c r="J7" s="9"/>
      <c r="K7" s="9"/>
      <c r="L7" s="9"/>
    </row>
    <row r="8">
      <c r="A8" s="12" t="s">
        <v>103</v>
      </c>
      <c r="B8" s="14" t="s">
        <v>113</v>
      </c>
      <c r="C8" s="17" t="s">
        <v>115</v>
      </c>
      <c r="D8" s="12" t="s">
        <v>117</v>
      </c>
      <c r="E8" s="12" t="s">
        <v>119</v>
      </c>
      <c r="F8" s="14" t="s">
        <v>121</v>
      </c>
      <c r="G8" s="12" t="s">
        <v>47</v>
      </c>
      <c r="H8" s="14" t="s">
        <v>95</v>
      </c>
      <c r="I8" s="14" t="s">
        <v>20</v>
      </c>
      <c r="J8" s="14"/>
      <c r="K8" s="12"/>
      <c r="L8" s="12"/>
    </row>
    <row r="9">
      <c r="A9" s="12" t="s">
        <v>103</v>
      </c>
      <c r="B9" s="14" t="s">
        <v>126</v>
      </c>
      <c r="C9" s="17" t="s">
        <v>127</v>
      </c>
      <c r="D9" s="12" t="s">
        <v>129</v>
      </c>
      <c r="E9" s="12" t="s">
        <v>132</v>
      </c>
      <c r="F9" s="14" t="s">
        <v>121</v>
      </c>
      <c r="G9" s="12" t="s">
        <v>47</v>
      </c>
      <c r="H9" s="14" t="s">
        <v>95</v>
      </c>
      <c r="I9" s="14" t="s">
        <v>20</v>
      </c>
      <c r="J9" s="14"/>
      <c r="K9" s="12"/>
      <c r="L9" s="12"/>
    </row>
    <row r="10">
      <c r="A10" s="12" t="s">
        <v>103</v>
      </c>
      <c r="B10" s="14" t="s">
        <v>136</v>
      </c>
      <c r="C10" s="17" t="s">
        <v>137</v>
      </c>
      <c r="D10" s="12" t="s">
        <v>138</v>
      </c>
      <c r="E10" s="12" t="s">
        <v>140</v>
      </c>
      <c r="F10" s="14" t="s">
        <v>121</v>
      </c>
      <c r="G10" s="12" t="s">
        <v>47</v>
      </c>
      <c r="H10" s="14" t="s">
        <v>95</v>
      </c>
      <c r="I10" s="14" t="s">
        <v>20</v>
      </c>
      <c r="J10" s="14"/>
      <c r="K10" s="12"/>
      <c r="L10" s="12"/>
    </row>
    <row r="11">
      <c r="A11" s="12" t="s">
        <v>103</v>
      </c>
      <c r="B11" s="14" t="s">
        <v>144</v>
      </c>
      <c r="C11" s="17" t="s">
        <v>145</v>
      </c>
      <c r="D11" s="12" t="s">
        <v>147</v>
      </c>
      <c r="E11" s="12" t="s">
        <v>148</v>
      </c>
      <c r="F11" s="14" t="s">
        <v>149</v>
      </c>
      <c r="G11" s="12" t="s">
        <v>47</v>
      </c>
      <c r="H11" s="14" t="s">
        <v>95</v>
      </c>
      <c r="I11" s="14" t="s">
        <v>20</v>
      </c>
      <c r="J11" s="14"/>
      <c r="K11" s="12"/>
      <c r="L11" s="12"/>
    </row>
    <row r="12">
      <c r="A12" s="12" t="s">
        <v>103</v>
      </c>
      <c r="B12" s="14" t="s">
        <v>154</v>
      </c>
      <c r="C12" s="17" t="s">
        <v>155</v>
      </c>
      <c r="D12" s="12" t="s">
        <v>157</v>
      </c>
      <c r="E12" s="12" t="s">
        <v>158</v>
      </c>
      <c r="F12" s="14" t="s">
        <v>46</v>
      </c>
      <c r="G12" s="12" t="s">
        <v>160</v>
      </c>
      <c r="H12" s="14" t="s">
        <v>95</v>
      </c>
      <c r="I12" s="14" t="s">
        <v>20</v>
      </c>
      <c r="J12" s="14"/>
      <c r="K12" s="12"/>
      <c r="L12" s="12"/>
    </row>
    <row r="13">
      <c r="A13" s="12" t="s">
        <v>103</v>
      </c>
      <c r="B13" s="25" t="s">
        <v>165</v>
      </c>
      <c r="C13" s="17" t="s">
        <v>168</v>
      </c>
      <c r="D13" s="12" t="s">
        <v>170</v>
      </c>
      <c r="E13" s="12" t="s">
        <v>172</v>
      </c>
      <c r="F13" s="14" t="s">
        <v>121</v>
      </c>
      <c r="G13" s="12" t="s">
        <v>47</v>
      </c>
      <c r="H13" s="14" t="s">
        <v>95</v>
      </c>
      <c r="I13" s="14" t="s">
        <v>20</v>
      </c>
      <c r="J13" s="14"/>
      <c r="K13" s="12"/>
      <c r="L13" s="12"/>
    </row>
    <row r="14">
      <c r="A14" s="12" t="s">
        <v>103</v>
      </c>
      <c r="B14" s="25" t="s">
        <v>177</v>
      </c>
      <c r="C14" s="17" t="s">
        <v>179</v>
      </c>
      <c r="D14" s="12" t="s">
        <v>180</v>
      </c>
      <c r="E14" s="12" t="s">
        <v>183</v>
      </c>
      <c r="F14" s="14" t="s">
        <v>184</v>
      </c>
      <c r="G14" s="12" t="s">
        <v>47</v>
      </c>
      <c r="H14" s="14" t="s">
        <v>95</v>
      </c>
      <c r="I14" s="14" t="s">
        <v>20</v>
      </c>
      <c r="J14" s="14"/>
      <c r="K14" s="12"/>
      <c r="L14" s="12"/>
    </row>
    <row r="15" ht="21.75" customHeight="1">
      <c r="A15" s="9" t="s">
        <v>188</v>
      </c>
      <c r="B15" s="9"/>
      <c r="C15" s="9"/>
      <c r="D15" s="9"/>
      <c r="E15" s="9"/>
      <c r="F15" s="9"/>
      <c r="G15" s="9"/>
      <c r="H15" s="9"/>
      <c r="I15" s="9"/>
      <c r="J15" s="9"/>
      <c r="K15" s="9"/>
      <c r="L15" s="9"/>
    </row>
    <row r="16">
      <c r="A16" s="12" t="s">
        <v>188</v>
      </c>
      <c r="B16" s="14" t="s">
        <v>193</v>
      </c>
      <c r="C16" s="17" t="s">
        <v>194</v>
      </c>
      <c r="D16" s="12" t="s">
        <v>195</v>
      </c>
      <c r="E16" s="12" t="s">
        <v>196</v>
      </c>
      <c r="F16" s="14" t="s">
        <v>149</v>
      </c>
      <c r="G16" s="12" t="s">
        <v>47</v>
      </c>
      <c r="H16" s="14" t="s">
        <v>95</v>
      </c>
      <c r="I16" s="14" t="s">
        <v>20</v>
      </c>
      <c r="J16" s="14"/>
      <c r="K16" s="12"/>
      <c r="L16" s="12"/>
    </row>
    <row r="17">
      <c r="A17" s="12" t="s">
        <v>188</v>
      </c>
      <c r="B17" s="14" t="s">
        <v>201</v>
      </c>
      <c r="C17" s="17" t="s">
        <v>203</v>
      </c>
      <c r="D17" s="12" t="s">
        <v>204</v>
      </c>
      <c r="E17" s="12" t="s">
        <v>205</v>
      </c>
      <c r="F17" s="14" t="s">
        <v>206</v>
      </c>
      <c r="G17" s="12" t="s">
        <v>207</v>
      </c>
      <c r="H17" s="14" t="s">
        <v>95</v>
      </c>
      <c r="I17" s="14" t="s">
        <v>20</v>
      </c>
      <c r="J17" s="14"/>
      <c r="K17" s="12"/>
      <c r="L17" s="12"/>
    </row>
    <row r="18">
      <c r="A18" s="12" t="s">
        <v>188</v>
      </c>
      <c r="B18" s="14" t="s">
        <v>46</v>
      </c>
      <c r="C18" s="17" t="s">
        <v>208</v>
      </c>
      <c r="D18" s="12" t="s">
        <v>210</v>
      </c>
      <c r="E18" s="12" t="s">
        <v>211</v>
      </c>
      <c r="F18" s="14" t="s">
        <v>70</v>
      </c>
      <c r="G18" s="12" t="s">
        <v>213</v>
      </c>
      <c r="H18" s="14" t="s">
        <v>95</v>
      </c>
      <c r="I18" s="14" t="s">
        <v>20</v>
      </c>
      <c r="J18" s="14"/>
      <c r="K18" s="12"/>
      <c r="L18" s="12"/>
    </row>
    <row r="19">
      <c r="A19" s="12" t="s">
        <v>188</v>
      </c>
      <c r="B19" s="14" t="s">
        <v>206</v>
      </c>
      <c r="C19" s="17" t="s">
        <v>216</v>
      </c>
      <c r="D19" s="12" t="s">
        <v>218</v>
      </c>
      <c r="E19" s="12" t="s">
        <v>219</v>
      </c>
      <c r="F19" s="14" t="s">
        <v>70</v>
      </c>
      <c r="G19" s="12" t="s">
        <v>213</v>
      </c>
      <c r="H19" s="14" t="s">
        <v>95</v>
      </c>
      <c r="I19" s="14" t="s">
        <v>20</v>
      </c>
      <c r="J19" s="14"/>
      <c r="K19" s="12"/>
      <c r="L19" s="12"/>
    </row>
    <row r="20">
      <c r="A20" s="12" t="s">
        <v>188</v>
      </c>
      <c r="B20" s="25" t="s">
        <v>222</v>
      </c>
      <c r="C20" s="17" t="s">
        <v>223</v>
      </c>
      <c r="D20" s="12" t="s">
        <v>225</v>
      </c>
      <c r="E20" s="12" t="s">
        <v>226</v>
      </c>
      <c r="F20" s="14" t="s">
        <v>227</v>
      </c>
      <c r="G20" s="12" t="s">
        <v>213</v>
      </c>
      <c r="H20" s="14" t="s">
        <v>95</v>
      </c>
      <c r="I20" s="14" t="s">
        <v>20</v>
      </c>
      <c r="J20" s="14"/>
      <c r="K20" s="12"/>
      <c r="L20" s="12"/>
    </row>
    <row r="21" ht="21.75" customHeight="1">
      <c r="A21" s="9" t="s">
        <v>228</v>
      </c>
      <c r="B21" s="9"/>
      <c r="C21" s="9"/>
      <c r="D21" s="9"/>
      <c r="E21" s="9"/>
      <c r="F21" s="9"/>
      <c r="G21" s="9"/>
      <c r="H21" s="9"/>
      <c r="I21" s="9"/>
      <c r="J21" s="9"/>
      <c r="K21" s="9"/>
      <c r="L21" s="9"/>
    </row>
    <row r="22" ht="15.75" customHeight="1">
      <c r="A22" s="12" t="s">
        <v>228</v>
      </c>
      <c r="B22" s="14" t="s">
        <v>229</v>
      </c>
      <c r="C22" s="17" t="s">
        <v>230</v>
      </c>
      <c r="D22" s="12" t="s">
        <v>231</v>
      </c>
      <c r="E22" s="12" t="s">
        <v>232</v>
      </c>
      <c r="F22" s="14" t="s">
        <v>206</v>
      </c>
      <c r="G22" s="12" t="s">
        <v>47</v>
      </c>
      <c r="H22" s="14" t="s">
        <v>48</v>
      </c>
      <c r="I22" s="14" t="s">
        <v>20</v>
      </c>
      <c r="J22" s="14"/>
      <c r="K22" s="12"/>
      <c r="L22" s="12"/>
    </row>
    <row r="23" ht="15.75" customHeight="1">
      <c r="A23" s="12" t="s">
        <v>228</v>
      </c>
      <c r="B23" s="14" t="s">
        <v>233</v>
      </c>
      <c r="C23" s="17" t="s">
        <v>234</v>
      </c>
      <c r="D23" s="12" t="s">
        <v>236</v>
      </c>
      <c r="E23" s="12" t="s">
        <v>237</v>
      </c>
      <c r="F23" s="14" t="s">
        <v>206</v>
      </c>
      <c r="G23" s="12" t="s">
        <v>47</v>
      </c>
      <c r="H23" s="14" t="s">
        <v>48</v>
      </c>
      <c r="I23" s="14" t="s">
        <v>20</v>
      </c>
      <c r="J23" s="14"/>
      <c r="K23" s="12"/>
      <c r="L23" s="12"/>
    </row>
    <row r="24" ht="15.75" customHeight="1">
      <c r="A24" s="12" t="s">
        <v>228</v>
      </c>
      <c r="B24" s="25" t="s">
        <v>238</v>
      </c>
      <c r="C24" s="17" t="s">
        <v>239</v>
      </c>
      <c r="D24" s="12" t="s">
        <v>240</v>
      </c>
      <c r="E24" s="12" t="s">
        <v>241</v>
      </c>
      <c r="F24" s="14" t="s">
        <v>206</v>
      </c>
      <c r="G24" s="12" t="s">
        <v>47</v>
      </c>
      <c r="H24" s="14" t="s">
        <v>95</v>
      </c>
      <c r="I24" s="14" t="s">
        <v>20</v>
      </c>
      <c r="J24" s="14"/>
      <c r="K24" s="12"/>
      <c r="L24" s="12"/>
    </row>
    <row r="25" ht="15.75" customHeight="1">
      <c r="A25" s="12" t="s">
        <v>228</v>
      </c>
      <c r="B25" s="14" t="s">
        <v>242</v>
      </c>
      <c r="C25" s="17" t="s">
        <v>243</v>
      </c>
      <c r="D25" s="12" t="s">
        <v>244</v>
      </c>
      <c r="E25" s="12" t="s">
        <v>246</v>
      </c>
      <c r="F25" s="14" t="s">
        <v>206</v>
      </c>
      <c r="G25" s="12" t="s">
        <v>47</v>
      </c>
      <c r="H25" s="14" t="s">
        <v>48</v>
      </c>
      <c r="I25" s="14" t="s">
        <v>20</v>
      </c>
      <c r="J25" s="14"/>
      <c r="K25" s="12"/>
      <c r="L25" s="12"/>
    </row>
    <row r="26" ht="15.75" customHeight="1">
      <c r="A26" s="12" t="s">
        <v>228</v>
      </c>
      <c r="B26" s="14" t="s">
        <v>247</v>
      </c>
      <c r="C26" s="17" t="s">
        <v>248</v>
      </c>
      <c r="D26" s="12" t="s">
        <v>249</v>
      </c>
      <c r="E26" s="12" t="s">
        <v>250</v>
      </c>
      <c r="F26" s="14" t="s">
        <v>46</v>
      </c>
      <c r="G26" s="12" t="s">
        <v>47</v>
      </c>
      <c r="H26" s="14" t="s">
        <v>48</v>
      </c>
      <c r="I26" s="14" t="s">
        <v>20</v>
      </c>
      <c r="J26" s="14"/>
      <c r="K26" s="12"/>
      <c r="L26" s="12"/>
    </row>
    <row r="27" ht="15.75" customHeight="1">
      <c r="A27" s="12" t="s">
        <v>228</v>
      </c>
      <c r="B27" s="14" t="s">
        <v>252</v>
      </c>
      <c r="C27" s="17" t="s">
        <v>253</v>
      </c>
      <c r="D27" s="12" t="s">
        <v>254</v>
      </c>
      <c r="E27" s="12" t="s">
        <v>255</v>
      </c>
      <c r="F27" s="14" t="s">
        <v>46</v>
      </c>
      <c r="G27" s="12" t="s">
        <v>47</v>
      </c>
      <c r="H27" s="14" t="s">
        <v>95</v>
      </c>
      <c r="I27" s="14" t="s">
        <v>20</v>
      </c>
      <c r="J27" s="14"/>
      <c r="K27" s="12"/>
      <c r="L27" s="12"/>
    </row>
    <row r="28" ht="15.75" customHeight="1">
      <c r="A28" s="12" t="s">
        <v>228</v>
      </c>
      <c r="B28" s="25" t="s">
        <v>256</v>
      </c>
      <c r="C28" s="17" t="s">
        <v>257</v>
      </c>
      <c r="D28" s="12" t="s">
        <v>258</v>
      </c>
      <c r="E28" s="12" t="s">
        <v>259</v>
      </c>
      <c r="F28" s="14" t="s">
        <v>46</v>
      </c>
      <c r="G28" s="12" t="s">
        <v>160</v>
      </c>
      <c r="H28" s="14" t="s">
        <v>95</v>
      </c>
      <c r="I28" s="14" t="s">
        <v>20</v>
      </c>
      <c r="J28" s="14"/>
      <c r="K28" s="12"/>
      <c r="L28" s="12"/>
    </row>
    <row r="29" ht="15.75" customHeight="1">
      <c r="A29" s="12" t="s">
        <v>228</v>
      </c>
      <c r="B29" s="14" t="s">
        <v>260</v>
      </c>
      <c r="C29" s="17" t="s">
        <v>261</v>
      </c>
      <c r="D29" s="12" t="s">
        <v>262</v>
      </c>
      <c r="E29" s="12" t="s">
        <v>263</v>
      </c>
      <c r="F29" s="14" t="s">
        <v>206</v>
      </c>
      <c r="G29" s="12" t="s">
        <v>47</v>
      </c>
      <c r="H29" s="14" t="s">
        <v>95</v>
      </c>
      <c r="I29" s="14" t="s">
        <v>20</v>
      </c>
      <c r="J29" s="14"/>
      <c r="K29" s="12"/>
      <c r="L29" s="12"/>
    </row>
    <row r="30" ht="15.75" customHeight="1">
      <c r="A30" s="12" t="s">
        <v>228</v>
      </c>
      <c r="B30" s="25" t="s">
        <v>264</v>
      </c>
      <c r="C30" s="17" t="s">
        <v>265</v>
      </c>
      <c r="D30" s="12" t="s">
        <v>266</v>
      </c>
      <c r="E30" s="12" t="s">
        <v>268</v>
      </c>
      <c r="F30" s="14" t="s">
        <v>222</v>
      </c>
      <c r="G30" s="12" t="s">
        <v>47</v>
      </c>
      <c r="H30" s="14" t="s">
        <v>95</v>
      </c>
      <c r="I30" s="14" t="s">
        <v>20</v>
      </c>
      <c r="J30" s="14"/>
      <c r="K30" s="12"/>
      <c r="L30" s="12"/>
    </row>
    <row r="31" ht="15.75" customHeight="1">
      <c r="A31" s="12" t="s">
        <v>228</v>
      </c>
      <c r="B31" s="25" t="s">
        <v>269</v>
      </c>
      <c r="C31" s="17" t="s">
        <v>270</v>
      </c>
      <c r="D31" s="12" t="s">
        <v>271</v>
      </c>
      <c r="E31" s="12" t="s">
        <v>272</v>
      </c>
      <c r="F31" s="14" t="s">
        <v>206</v>
      </c>
      <c r="G31" s="12" t="s">
        <v>47</v>
      </c>
      <c r="H31" s="14" t="s">
        <v>95</v>
      </c>
      <c r="I31" s="14" t="s">
        <v>20</v>
      </c>
      <c r="J31" s="14"/>
      <c r="K31" s="12"/>
      <c r="L31" s="12"/>
    </row>
    <row r="32" ht="15.75" customHeight="1">
      <c r="A32" s="12" t="s">
        <v>228</v>
      </c>
      <c r="B32" s="25" t="s">
        <v>273</v>
      </c>
      <c r="C32" s="17" t="s">
        <v>274</v>
      </c>
      <c r="D32" s="12" t="s">
        <v>275</v>
      </c>
      <c r="E32" s="12" t="s">
        <v>276</v>
      </c>
      <c r="F32" s="14" t="s">
        <v>206</v>
      </c>
      <c r="G32" s="12" t="s">
        <v>47</v>
      </c>
      <c r="H32" s="14" t="s">
        <v>95</v>
      </c>
      <c r="I32" s="14" t="s">
        <v>20</v>
      </c>
      <c r="J32" s="14"/>
      <c r="K32" s="12"/>
      <c r="L32" s="12"/>
    </row>
    <row r="33" ht="15.75" customHeight="1">
      <c r="A33" s="12" t="s">
        <v>228</v>
      </c>
      <c r="B33" s="25" t="s">
        <v>277</v>
      </c>
      <c r="C33" s="17" t="s">
        <v>278</v>
      </c>
      <c r="D33" s="12" t="s">
        <v>279</v>
      </c>
      <c r="E33" s="12" t="s">
        <v>280</v>
      </c>
      <c r="F33" s="14" t="s">
        <v>206</v>
      </c>
      <c r="G33" s="12" t="s">
        <v>47</v>
      </c>
      <c r="H33" s="14" t="s">
        <v>95</v>
      </c>
      <c r="I33" s="14" t="s">
        <v>20</v>
      </c>
      <c r="J33" s="14"/>
      <c r="K33" s="12"/>
      <c r="L33" s="12"/>
    </row>
    <row r="34" ht="15.75" customHeight="1">
      <c r="A34" s="12" t="s">
        <v>228</v>
      </c>
      <c r="B34" s="25" t="s">
        <v>281</v>
      </c>
      <c r="C34" s="17" t="s">
        <v>282</v>
      </c>
      <c r="D34" s="12" t="s">
        <v>283</v>
      </c>
      <c r="E34" s="12" t="s">
        <v>284</v>
      </c>
      <c r="F34" s="14" t="s">
        <v>206</v>
      </c>
      <c r="G34" s="12" t="s">
        <v>47</v>
      </c>
      <c r="H34" s="14" t="s">
        <v>95</v>
      </c>
      <c r="I34" s="14" t="s">
        <v>20</v>
      </c>
      <c r="J34" s="14"/>
      <c r="K34" s="12"/>
      <c r="L34" s="12"/>
    </row>
    <row r="35" ht="15.75" customHeight="1">
      <c r="A35" s="12" t="s">
        <v>228</v>
      </c>
      <c r="B35" s="25" t="s">
        <v>285</v>
      </c>
      <c r="C35" s="17" t="s">
        <v>286</v>
      </c>
      <c r="D35" s="12" t="s">
        <v>287</v>
      </c>
      <c r="E35" s="12" t="s">
        <v>288</v>
      </c>
      <c r="F35" s="14" t="s">
        <v>206</v>
      </c>
      <c r="G35" s="12" t="s">
        <v>47</v>
      </c>
      <c r="H35" s="14" t="s">
        <v>95</v>
      </c>
      <c r="I35" s="14" t="s">
        <v>20</v>
      </c>
      <c r="J35" s="14"/>
      <c r="K35" s="12"/>
      <c r="L35" s="12"/>
    </row>
    <row r="36" ht="15.75" customHeight="1">
      <c r="A36" s="12" t="s">
        <v>228</v>
      </c>
      <c r="B36" s="25" t="s">
        <v>290</v>
      </c>
      <c r="C36" s="17" t="s">
        <v>291</v>
      </c>
      <c r="D36" s="12" t="s">
        <v>293</v>
      </c>
      <c r="E36" s="12" t="s">
        <v>295</v>
      </c>
      <c r="F36" s="14" t="s">
        <v>206</v>
      </c>
      <c r="G36" s="12" t="s">
        <v>47</v>
      </c>
      <c r="H36" s="14" t="s">
        <v>95</v>
      </c>
      <c r="I36" s="14" t="s">
        <v>20</v>
      </c>
      <c r="J36" s="14"/>
      <c r="K36" s="12"/>
      <c r="L36" s="12"/>
    </row>
    <row r="37" ht="15.75" customHeight="1">
      <c r="A37" s="12" t="s">
        <v>228</v>
      </c>
      <c r="B37" s="25" t="s">
        <v>296</v>
      </c>
      <c r="C37" s="17" t="s">
        <v>297</v>
      </c>
      <c r="D37" s="12" t="s">
        <v>298</v>
      </c>
      <c r="E37" s="12" t="s">
        <v>299</v>
      </c>
      <c r="F37" s="14" t="s">
        <v>206</v>
      </c>
      <c r="G37" s="12" t="s">
        <v>300</v>
      </c>
      <c r="H37" s="14" t="s">
        <v>95</v>
      </c>
      <c r="I37" s="14" t="s">
        <v>20</v>
      </c>
      <c r="J37" s="14"/>
      <c r="K37" s="12"/>
      <c r="L37" s="12"/>
    </row>
    <row r="38" ht="15.75" customHeight="1">
      <c r="A38" s="12" t="s">
        <v>228</v>
      </c>
      <c r="B38" s="25" t="s">
        <v>301</v>
      </c>
      <c r="C38" s="17" t="s">
        <v>302</v>
      </c>
      <c r="D38" s="12" t="s">
        <v>303</v>
      </c>
      <c r="E38" s="12" t="s">
        <v>304</v>
      </c>
      <c r="F38" s="14" t="s">
        <v>206</v>
      </c>
      <c r="G38" s="12" t="s">
        <v>300</v>
      </c>
      <c r="H38" s="14" t="s">
        <v>99</v>
      </c>
      <c r="I38" s="14" t="s">
        <v>20</v>
      </c>
      <c r="J38" s="14"/>
      <c r="K38" s="12"/>
      <c r="L38" s="12"/>
    </row>
    <row r="39" ht="15.75" customHeight="1">
      <c r="A39" s="12" t="s">
        <v>228</v>
      </c>
      <c r="B39" s="14" t="s">
        <v>305</v>
      </c>
      <c r="C39" s="17" t="s">
        <v>306</v>
      </c>
      <c r="D39" s="12" t="s">
        <v>307</v>
      </c>
      <c r="E39" s="12" t="s">
        <v>308</v>
      </c>
      <c r="F39" s="14" t="s">
        <v>46</v>
      </c>
      <c r="G39" s="12" t="s">
        <v>47</v>
      </c>
      <c r="H39" s="14" t="s">
        <v>95</v>
      </c>
      <c r="I39" s="14" t="s">
        <v>20</v>
      </c>
      <c r="J39" s="14"/>
      <c r="K39" s="12"/>
      <c r="L39" s="12"/>
    </row>
    <row r="40" ht="15.75" customHeight="1">
      <c r="A40" s="12" t="s">
        <v>228</v>
      </c>
      <c r="B40" s="14" t="s">
        <v>309</v>
      </c>
      <c r="C40" s="17" t="s">
        <v>310</v>
      </c>
      <c r="D40" s="12" t="s">
        <v>311</v>
      </c>
      <c r="E40" s="12" t="s">
        <v>312</v>
      </c>
      <c r="F40" s="14" t="s">
        <v>46</v>
      </c>
      <c r="G40" s="12" t="s">
        <v>47</v>
      </c>
      <c r="H40" s="14" t="s">
        <v>95</v>
      </c>
      <c r="I40" s="14" t="s">
        <v>20</v>
      </c>
      <c r="J40" s="14"/>
      <c r="K40" s="12"/>
      <c r="L40" s="12"/>
    </row>
    <row r="41" ht="15.75" customHeight="1">
      <c r="A41" s="12" t="s">
        <v>228</v>
      </c>
      <c r="B41" s="14" t="s">
        <v>313</v>
      </c>
      <c r="C41" s="17" t="s">
        <v>314</v>
      </c>
      <c r="D41" s="12" t="s">
        <v>315</v>
      </c>
      <c r="E41" s="12" t="s">
        <v>316</v>
      </c>
      <c r="F41" s="14" t="s">
        <v>252</v>
      </c>
      <c r="G41" s="12" t="s">
        <v>47</v>
      </c>
      <c r="H41" s="14" t="s">
        <v>99</v>
      </c>
      <c r="I41" s="14" t="s">
        <v>20</v>
      </c>
      <c r="J41" s="14"/>
      <c r="K41" s="12"/>
      <c r="L41" s="12"/>
    </row>
    <row r="42" ht="21.75" customHeight="1">
      <c r="A42" s="9" t="s">
        <v>317</v>
      </c>
      <c r="B42" s="9"/>
      <c r="C42" s="9"/>
      <c r="D42" s="9"/>
      <c r="E42" s="9"/>
      <c r="F42" s="9"/>
      <c r="G42" s="9"/>
      <c r="H42" s="9"/>
      <c r="I42" s="9"/>
      <c r="J42" s="9"/>
      <c r="K42" s="9"/>
      <c r="L42" s="9"/>
    </row>
    <row r="43" ht="15.75" customHeight="1">
      <c r="A43" s="12" t="s">
        <v>317</v>
      </c>
      <c r="B43" s="14" t="s">
        <v>318</v>
      </c>
      <c r="C43" s="17" t="s">
        <v>319</v>
      </c>
      <c r="D43" s="12" t="s">
        <v>320</v>
      </c>
      <c r="E43" s="12" t="s">
        <v>321</v>
      </c>
      <c r="F43" s="14" t="s">
        <v>322</v>
      </c>
      <c r="G43" s="12" t="s">
        <v>47</v>
      </c>
      <c r="H43" s="14" t="s">
        <v>48</v>
      </c>
      <c r="I43" s="14" t="s">
        <v>20</v>
      </c>
      <c r="J43" s="14"/>
      <c r="K43" s="12"/>
      <c r="L43" s="12"/>
    </row>
    <row r="44" ht="15.75" customHeight="1">
      <c r="A44" s="12" t="s">
        <v>317</v>
      </c>
      <c r="B44" s="14" t="s">
        <v>323</v>
      </c>
      <c r="C44" s="17" t="s">
        <v>324</v>
      </c>
      <c r="D44" s="12" t="s">
        <v>325</v>
      </c>
      <c r="E44" s="12" t="s">
        <v>326</v>
      </c>
      <c r="F44" s="14" t="s">
        <v>322</v>
      </c>
      <c r="G44" s="12" t="s">
        <v>47</v>
      </c>
      <c r="H44" s="14" t="s">
        <v>95</v>
      </c>
      <c r="I44" s="14" t="s">
        <v>20</v>
      </c>
      <c r="J44" s="14"/>
      <c r="K44" s="12"/>
      <c r="L44" s="12"/>
    </row>
    <row r="45" ht="15.75" customHeight="1">
      <c r="A45" s="12" t="s">
        <v>317</v>
      </c>
      <c r="B45" s="25" t="s">
        <v>327</v>
      </c>
      <c r="C45" s="17" t="s">
        <v>328</v>
      </c>
      <c r="D45" s="12" t="s">
        <v>329</v>
      </c>
      <c r="E45" s="12" t="s">
        <v>330</v>
      </c>
      <c r="F45" s="14" t="s">
        <v>322</v>
      </c>
      <c r="G45" s="12" t="s">
        <v>47</v>
      </c>
      <c r="H45" s="14" t="s">
        <v>95</v>
      </c>
      <c r="I45" s="14" t="s">
        <v>20</v>
      </c>
      <c r="J45" s="14"/>
      <c r="K45" s="12"/>
      <c r="L45" s="12"/>
    </row>
    <row r="46" ht="15.75" customHeight="1">
      <c r="A46" s="12" t="s">
        <v>317</v>
      </c>
      <c r="B46" s="25" t="s">
        <v>331</v>
      </c>
      <c r="C46" s="17" t="s">
        <v>332</v>
      </c>
      <c r="D46" s="12" t="s">
        <v>333</v>
      </c>
      <c r="E46" s="12" t="s">
        <v>334</v>
      </c>
      <c r="F46" s="14" t="s">
        <v>322</v>
      </c>
      <c r="G46" s="12" t="s">
        <v>47</v>
      </c>
      <c r="H46" s="14" t="s">
        <v>95</v>
      </c>
      <c r="I46" s="14" t="s">
        <v>20</v>
      </c>
      <c r="J46" s="14"/>
      <c r="K46" s="12"/>
      <c r="L46" s="12"/>
    </row>
    <row r="47" ht="15.75" customHeight="1">
      <c r="A47" s="12" t="s">
        <v>317</v>
      </c>
      <c r="B47" s="25" t="s">
        <v>335</v>
      </c>
      <c r="C47" s="17" t="s">
        <v>336</v>
      </c>
      <c r="D47" s="12" t="s">
        <v>337</v>
      </c>
      <c r="E47" s="12" t="s">
        <v>338</v>
      </c>
      <c r="F47" s="14" t="s">
        <v>256</v>
      </c>
      <c r="G47" s="12" t="s">
        <v>339</v>
      </c>
      <c r="H47" s="14" t="s">
        <v>99</v>
      </c>
      <c r="I47" s="14" t="s">
        <v>20</v>
      </c>
      <c r="J47" s="14"/>
      <c r="K47" s="12"/>
      <c r="L47" s="12"/>
    </row>
    <row r="48" ht="15.75" customHeight="1">
      <c r="A48" s="12" t="s">
        <v>317</v>
      </c>
      <c r="B48" s="25" t="s">
        <v>340</v>
      </c>
      <c r="C48" s="17" t="s">
        <v>341</v>
      </c>
      <c r="D48" s="12" t="s">
        <v>342</v>
      </c>
      <c r="E48" s="12" t="s">
        <v>343</v>
      </c>
      <c r="F48" s="14" t="s">
        <v>322</v>
      </c>
      <c r="G48" s="12" t="s">
        <v>345</v>
      </c>
      <c r="H48" s="14" t="s">
        <v>95</v>
      </c>
      <c r="I48" s="14" t="s">
        <v>20</v>
      </c>
      <c r="J48" s="14"/>
      <c r="K48" s="12"/>
      <c r="L48" s="12"/>
    </row>
    <row r="49" ht="15.75" customHeight="1">
      <c r="A49" s="12" t="s">
        <v>317</v>
      </c>
      <c r="B49" s="14" t="s">
        <v>348</v>
      </c>
      <c r="C49" s="17" t="s">
        <v>349</v>
      </c>
      <c r="D49" s="12" t="s">
        <v>350</v>
      </c>
      <c r="E49" s="12" t="s">
        <v>351</v>
      </c>
      <c r="F49" s="14" t="s">
        <v>227</v>
      </c>
      <c r="G49" s="12" t="s">
        <v>47</v>
      </c>
      <c r="H49" s="14" t="s">
        <v>95</v>
      </c>
      <c r="I49" s="14" t="s">
        <v>20</v>
      </c>
      <c r="J49" s="14"/>
      <c r="K49" s="12"/>
      <c r="L49" s="12"/>
    </row>
    <row r="50" ht="15.75" customHeight="1">
      <c r="A50" s="12" t="s">
        <v>317</v>
      </c>
      <c r="B50" s="14" t="s">
        <v>353</v>
      </c>
      <c r="C50" s="17" t="s">
        <v>354</v>
      </c>
      <c r="D50" s="12" t="s">
        <v>355</v>
      </c>
      <c r="E50" s="12" t="s">
        <v>357</v>
      </c>
      <c r="F50" s="14" t="s">
        <v>206</v>
      </c>
      <c r="G50" s="12" t="s">
        <v>47</v>
      </c>
      <c r="H50" s="14" t="s">
        <v>48</v>
      </c>
      <c r="I50" s="14" t="s">
        <v>20</v>
      </c>
      <c r="J50" s="14"/>
      <c r="K50" s="12"/>
      <c r="L50" s="12"/>
    </row>
    <row r="51" ht="15.75" customHeight="1">
      <c r="A51" s="12" t="s">
        <v>317</v>
      </c>
      <c r="B51" s="14" t="s">
        <v>359</v>
      </c>
      <c r="C51" s="17" t="s">
        <v>360</v>
      </c>
      <c r="D51" s="12" t="s">
        <v>361</v>
      </c>
      <c r="E51" s="12" t="s">
        <v>362</v>
      </c>
      <c r="F51" s="14" t="s">
        <v>46</v>
      </c>
      <c r="G51" s="12" t="s">
        <v>47</v>
      </c>
      <c r="H51" s="14" t="s">
        <v>95</v>
      </c>
      <c r="I51" s="14" t="s">
        <v>20</v>
      </c>
      <c r="J51" s="14"/>
      <c r="K51" s="12"/>
      <c r="L51" s="12"/>
    </row>
    <row r="52" ht="15.75" customHeight="1">
      <c r="A52" s="12" t="s">
        <v>317</v>
      </c>
      <c r="B52" s="14" t="s">
        <v>363</v>
      </c>
      <c r="C52" s="17" t="s">
        <v>364</v>
      </c>
      <c r="D52" s="12" t="s">
        <v>365</v>
      </c>
      <c r="E52" s="12" t="s">
        <v>366</v>
      </c>
      <c r="F52" s="14" t="s">
        <v>368</v>
      </c>
      <c r="G52" s="12" t="s">
        <v>47</v>
      </c>
      <c r="H52" s="14" t="s">
        <v>95</v>
      </c>
      <c r="I52" s="14" t="s">
        <v>20</v>
      </c>
      <c r="J52" s="14"/>
      <c r="K52" s="12"/>
      <c r="L52" s="12"/>
    </row>
    <row r="53" ht="15.75" customHeight="1">
      <c r="A53" s="12" t="s">
        <v>317</v>
      </c>
      <c r="B53" s="14" t="s">
        <v>370</v>
      </c>
      <c r="C53" s="17" t="s">
        <v>372</v>
      </c>
      <c r="D53" s="12" t="s">
        <v>374</v>
      </c>
      <c r="E53" s="12" t="s">
        <v>375</v>
      </c>
      <c r="F53" s="14" t="s">
        <v>46</v>
      </c>
      <c r="G53" s="12" t="s">
        <v>47</v>
      </c>
      <c r="H53" s="14" t="s">
        <v>95</v>
      </c>
      <c r="I53" s="14" t="s">
        <v>20</v>
      </c>
      <c r="J53" s="14"/>
      <c r="K53" s="12"/>
      <c r="L53" s="12"/>
    </row>
    <row r="54" ht="15.75" customHeight="1">
      <c r="A54" s="12" t="s">
        <v>317</v>
      </c>
      <c r="B54" s="14" t="s">
        <v>382</v>
      </c>
      <c r="C54" s="17" t="s">
        <v>383</v>
      </c>
      <c r="D54" s="12" t="s">
        <v>384</v>
      </c>
      <c r="E54" s="12" t="s">
        <v>387</v>
      </c>
      <c r="F54" s="14" t="s">
        <v>252</v>
      </c>
      <c r="G54" s="12" t="s">
        <v>47</v>
      </c>
      <c r="H54" s="14" t="s">
        <v>99</v>
      </c>
      <c r="I54" s="14" t="s">
        <v>20</v>
      </c>
      <c r="J54" s="14"/>
      <c r="K54" s="12"/>
      <c r="L54" s="12"/>
    </row>
    <row r="55" ht="15.75" customHeight="1">
      <c r="A55" s="12" t="s">
        <v>317</v>
      </c>
      <c r="B55" s="14" t="s">
        <v>389</v>
      </c>
      <c r="C55" s="17" t="s">
        <v>391</v>
      </c>
      <c r="D55" s="12" t="s">
        <v>392</v>
      </c>
      <c r="E55" s="12" t="s">
        <v>394</v>
      </c>
      <c r="F55" s="14" t="s">
        <v>227</v>
      </c>
      <c r="G55" s="12" t="s">
        <v>397</v>
      </c>
      <c r="H55" s="14" t="s">
        <v>95</v>
      </c>
      <c r="I55" s="14" t="s">
        <v>20</v>
      </c>
      <c r="J55" s="14"/>
      <c r="K55" s="12"/>
      <c r="L55" s="12"/>
    </row>
    <row r="56" ht="21.75" customHeight="1">
      <c r="A56" s="9" t="s">
        <v>346</v>
      </c>
      <c r="B56" s="9"/>
      <c r="C56" s="9"/>
      <c r="D56" s="9"/>
      <c r="E56" s="9"/>
      <c r="F56" s="9"/>
      <c r="G56" s="9"/>
      <c r="H56" s="9"/>
      <c r="I56" s="9"/>
      <c r="J56" s="9"/>
      <c r="K56" s="9"/>
      <c r="L56" s="9"/>
    </row>
    <row r="57" ht="15.75" customHeight="1">
      <c r="A57" s="12" t="s">
        <v>346</v>
      </c>
      <c r="B57" s="14" t="s">
        <v>401</v>
      </c>
      <c r="C57" s="17" t="s">
        <v>402</v>
      </c>
      <c r="D57" s="12" t="s">
        <v>403</v>
      </c>
      <c r="E57" s="12" t="s">
        <v>404</v>
      </c>
      <c r="F57" s="14" t="s">
        <v>227</v>
      </c>
      <c r="G57" s="12" t="s">
        <v>406</v>
      </c>
      <c r="H57" s="14" t="s">
        <v>95</v>
      </c>
      <c r="I57" s="14" t="s">
        <v>20</v>
      </c>
      <c r="J57" s="14"/>
      <c r="K57" s="12"/>
      <c r="L57" s="12"/>
    </row>
    <row r="58" ht="15.75" customHeight="1">
      <c r="A58" s="12" t="s">
        <v>346</v>
      </c>
      <c r="B58" s="25" t="s">
        <v>409</v>
      </c>
      <c r="C58" s="17" t="s">
        <v>410</v>
      </c>
      <c r="D58" s="12" t="s">
        <v>411</v>
      </c>
      <c r="E58" s="12" t="s">
        <v>413</v>
      </c>
      <c r="F58" s="14" t="s">
        <v>227</v>
      </c>
      <c r="G58" s="12" t="s">
        <v>406</v>
      </c>
      <c r="H58" s="14" t="s">
        <v>48</v>
      </c>
      <c r="I58" s="14" t="s">
        <v>20</v>
      </c>
      <c r="J58" s="14"/>
      <c r="K58" s="12"/>
      <c r="L58" s="12"/>
    </row>
    <row r="59" ht="15.75" customHeight="1">
      <c r="A59" s="12" t="s">
        <v>346</v>
      </c>
      <c r="B59" s="25" t="s">
        <v>415</v>
      </c>
      <c r="C59" s="17" t="s">
        <v>416</v>
      </c>
      <c r="D59" s="12" t="s">
        <v>417</v>
      </c>
      <c r="E59" s="12" t="s">
        <v>418</v>
      </c>
      <c r="F59" s="14" t="s">
        <v>227</v>
      </c>
      <c r="G59" s="12" t="s">
        <v>419</v>
      </c>
      <c r="H59" s="14" t="s">
        <v>95</v>
      </c>
      <c r="I59" s="14" t="s">
        <v>20</v>
      </c>
      <c r="J59" s="14"/>
      <c r="K59" s="12"/>
      <c r="L59" s="12"/>
    </row>
    <row r="60" ht="15.75" customHeight="1">
      <c r="A60" s="12" t="s">
        <v>346</v>
      </c>
      <c r="B60" s="14" t="s">
        <v>423</v>
      </c>
      <c r="C60" s="17" t="s">
        <v>424</v>
      </c>
      <c r="D60" s="12" t="s">
        <v>426</v>
      </c>
      <c r="E60" s="12" t="s">
        <v>428</v>
      </c>
      <c r="F60" s="14" t="s">
        <v>227</v>
      </c>
      <c r="G60" s="12" t="s">
        <v>429</v>
      </c>
      <c r="H60" s="14" t="s">
        <v>95</v>
      </c>
      <c r="I60" s="14" t="s">
        <v>20</v>
      </c>
      <c r="J60" s="14"/>
      <c r="K60" s="12"/>
      <c r="L60" s="12"/>
    </row>
    <row r="61" ht="15.75" customHeight="1">
      <c r="A61" s="12" t="s">
        <v>346</v>
      </c>
      <c r="B61" s="25" t="s">
        <v>432</v>
      </c>
      <c r="C61" s="17" t="s">
        <v>433</v>
      </c>
      <c r="D61" s="12" t="s">
        <v>434</v>
      </c>
      <c r="E61" s="12" t="s">
        <v>436</v>
      </c>
      <c r="F61" s="14" t="s">
        <v>227</v>
      </c>
      <c r="G61" s="12" t="s">
        <v>429</v>
      </c>
      <c r="H61" s="14" t="s">
        <v>95</v>
      </c>
      <c r="I61" s="14" t="s">
        <v>20</v>
      </c>
      <c r="J61" s="14"/>
      <c r="K61" s="12"/>
      <c r="L61" s="12"/>
    </row>
    <row r="62" ht="15.75" customHeight="1">
      <c r="A62" s="12" t="s">
        <v>346</v>
      </c>
      <c r="B62" s="14" t="s">
        <v>440</v>
      </c>
      <c r="C62" s="17" t="s">
        <v>441</v>
      </c>
      <c r="D62" s="12" t="s">
        <v>442</v>
      </c>
      <c r="E62" s="12" t="s">
        <v>443</v>
      </c>
      <c r="F62" s="14" t="s">
        <v>227</v>
      </c>
      <c r="G62" s="12" t="s">
        <v>445</v>
      </c>
      <c r="H62" s="14" t="s">
        <v>95</v>
      </c>
      <c r="I62" s="14" t="s">
        <v>20</v>
      </c>
      <c r="J62" s="14"/>
      <c r="K62" s="12"/>
      <c r="L62" s="12"/>
    </row>
    <row r="63" ht="15.75" customHeight="1">
      <c r="A63" s="12" t="s">
        <v>346</v>
      </c>
      <c r="B63" s="25" t="s">
        <v>449</v>
      </c>
      <c r="C63" s="17" t="s">
        <v>450</v>
      </c>
      <c r="D63" s="12" t="s">
        <v>451</v>
      </c>
      <c r="E63" s="12" t="s">
        <v>452</v>
      </c>
      <c r="F63" s="14" t="s">
        <v>227</v>
      </c>
      <c r="G63" s="12" t="s">
        <v>453</v>
      </c>
      <c r="H63" s="14" t="s">
        <v>95</v>
      </c>
      <c r="I63" s="14" t="s">
        <v>20</v>
      </c>
      <c r="J63" s="14"/>
      <c r="K63" s="12"/>
      <c r="L63" s="12"/>
    </row>
    <row r="64" ht="15.75" customHeight="1">
      <c r="A64" s="12" t="s">
        <v>346</v>
      </c>
      <c r="B64" s="14" t="s">
        <v>454</v>
      </c>
      <c r="C64" s="17" t="s">
        <v>455</v>
      </c>
      <c r="D64" s="12" t="s">
        <v>456</v>
      </c>
      <c r="E64" s="12" t="s">
        <v>457</v>
      </c>
      <c r="F64" s="14" t="s">
        <v>227</v>
      </c>
      <c r="G64" s="12" t="s">
        <v>445</v>
      </c>
      <c r="H64" s="14" t="s">
        <v>95</v>
      </c>
      <c r="I64" s="14" t="s">
        <v>20</v>
      </c>
      <c r="J64" s="14"/>
      <c r="K64" s="12"/>
      <c r="L64" s="12"/>
    </row>
    <row r="65" ht="15.75" customHeight="1">
      <c r="A65" s="12" t="s">
        <v>346</v>
      </c>
      <c r="B65" s="14" t="s">
        <v>458</v>
      </c>
      <c r="C65" s="17" t="s">
        <v>459</v>
      </c>
      <c r="D65" s="12" t="s">
        <v>460</v>
      </c>
      <c r="E65" s="12" t="s">
        <v>461</v>
      </c>
      <c r="F65" s="14" t="s">
        <v>242</v>
      </c>
      <c r="G65" s="12" t="s">
        <v>445</v>
      </c>
      <c r="H65" s="14" t="s">
        <v>99</v>
      </c>
      <c r="I65" s="14" t="s">
        <v>20</v>
      </c>
      <c r="J65" s="14"/>
      <c r="K65" s="12"/>
      <c r="L65" s="12"/>
    </row>
    <row r="66" ht="15.75" customHeight="1">
      <c r="A66" s="12" t="s">
        <v>346</v>
      </c>
      <c r="B66" s="25" t="s">
        <v>462</v>
      </c>
      <c r="C66" s="17" t="s">
        <v>463</v>
      </c>
      <c r="D66" s="12" t="s">
        <v>464</v>
      </c>
      <c r="E66" s="12" t="s">
        <v>465</v>
      </c>
      <c r="F66" s="14" t="s">
        <v>222</v>
      </c>
      <c r="G66" s="12" t="s">
        <v>466</v>
      </c>
      <c r="H66" s="14" t="s">
        <v>95</v>
      </c>
      <c r="I66" s="14" t="s">
        <v>20</v>
      </c>
      <c r="J66" s="14"/>
      <c r="K66" s="12"/>
      <c r="L66" s="12"/>
    </row>
    <row r="67" ht="15.75" customHeight="1">
      <c r="A67" s="12" t="s">
        <v>346</v>
      </c>
      <c r="B67" s="14" t="s">
        <v>467</v>
      </c>
      <c r="C67" s="17" t="s">
        <v>468</v>
      </c>
      <c r="D67" s="12" t="s">
        <v>469</v>
      </c>
      <c r="E67" s="12" t="s">
        <v>470</v>
      </c>
      <c r="F67" s="14" t="s">
        <v>227</v>
      </c>
      <c r="G67" s="12" t="s">
        <v>406</v>
      </c>
      <c r="H67" s="14" t="s">
        <v>48</v>
      </c>
      <c r="I67" s="14" t="s">
        <v>20</v>
      </c>
      <c r="J67" s="14"/>
      <c r="K67" s="12"/>
      <c r="L67" s="12"/>
    </row>
    <row r="68" ht="15.75" customHeight="1">
      <c r="A68" s="12" t="s">
        <v>346</v>
      </c>
      <c r="B68" s="14" t="s">
        <v>471</v>
      </c>
      <c r="C68" s="17" t="s">
        <v>472</v>
      </c>
      <c r="D68" s="12" t="s">
        <v>473</v>
      </c>
      <c r="E68" s="12" t="s">
        <v>474</v>
      </c>
      <c r="F68" s="14" t="s">
        <v>227</v>
      </c>
      <c r="G68" s="12" t="s">
        <v>475</v>
      </c>
      <c r="H68" s="14" t="s">
        <v>95</v>
      </c>
      <c r="I68" s="14" t="s">
        <v>20</v>
      </c>
      <c r="J68" s="14"/>
      <c r="K68" s="12"/>
      <c r="L68" s="12"/>
    </row>
    <row r="69" ht="15.75" customHeight="1">
      <c r="A69" s="12" t="s">
        <v>346</v>
      </c>
      <c r="B69" s="25" t="s">
        <v>476</v>
      </c>
      <c r="C69" s="17" t="s">
        <v>477</v>
      </c>
      <c r="D69" s="12" t="s">
        <v>478</v>
      </c>
      <c r="E69" s="12" t="s">
        <v>479</v>
      </c>
      <c r="F69" s="14" t="s">
        <v>227</v>
      </c>
      <c r="G69" s="12" t="s">
        <v>475</v>
      </c>
      <c r="H69" s="14" t="s">
        <v>95</v>
      </c>
      <c r="I69" s="14" t="s">
        <v>20</v>
      </c>
      <c r="J69" s="14"/>
      <c r="K69" s="12"/>
      <c r="L69" s="12"/>
    </row>
    <row r="70" ht="15.75" customHeight="1">
      <c r="A70" s="12" t="s">
        <v>346</v>
      </c>
      <c r="B70" s="25" t="s">
        <v>480</v>
      </c>
      <c r="C70" s="17" t="s">
        <v>481</v>
      </c>
      <c r="D70" s="12" t="s">
        <v>482</v>
      </c>
      <c r="E70" s="12" t="s">
        <v>483</v>
      </c>
      <c r="F70" s="14" t="s">
        <v>227</v>
      </c>
      <c r="G70" s="12" t="s">
        <v>47</v>
      </c>
      <c r="H70" s="14" t="s">
        <v>95</v>
      </c>
      <c r="I70" s="14" t="s">
        <v>20</v>
      </c>
      <c r="J70" s="14"/>
      <c r="K70" s="12"/>
      <c r="L70" s="12"/>
    </row>
    <row r="71" ht="15.75" customHeight="1">
      <c r="A71" s="12" t="s">
        <v>346</v>
      </c>
      <c r="B71" s="25" t="s">
        <v>484</v>
      </c>
      <c r="C71" s="17" t="s">
        <v>485</v>
      </c>
      <c r="D71" s="12" t="s">
        <v>486</v>
      </c>
      <c r="E71" s="12" t="s">
        <v>487</v>
      </c>
      <c r="F71" s="14" t="s">
        <v>227</v>
      </c>
      <c r="G71" s="12" t="s">
        <v>406</v>
      </c>
      <c r="H71" s="14" t="s">
        <v>95</v>
      </c>
      <c r="I71" s="14" t="s">
        <v>20</v>
      </c>
      <c r="J71" s="14"/>
      <c r="K71" s="12"/>
      <c r="L71" s="12"/>
    </row>
    <row r="72" ht="15.75" customHeight="1">
      <c r="A72" s="12" t="s">
        <v>346</v>
      </c>
      <c r="B72" s="14" t="s">
        <v>488</v>
      </c>
      <c r="C72" s="17" t="s">
        <v>489</v>
      </c>
      <c r="D72" s="12" t="s">
        <v>490</v>
      </c>
      <c r="E72" s="12" t="s">
        <v>491</v>
      </c>
      <c r="F72" s="14" t="s">
        <v>227</v>
      </c>
      <c r="G72" s="12" t="s">
        <v>406</v>
      </c>
      <c r="H72" s="14" t="s">
        <v>95</v>
      </c>
      <c r="I72" s="14" t="s">
        <v>20</v>
      </c>
      <c r="J72" s="14"/>
      <c r="K72" s="12"/>
      <c r="L72" s="12"/>
    </row>
    <row r="73" ht="21.75" customHeight="1">
      <c r="A73" s="9" t="s">
        <v>358</v>
      </c>
      <c r="B73" s="9"/>
      <c r="C73" s="9"/>
      <c r="D73" s="9"/>
      <c r="E73" s="9"/>
      <c r="F73" s="9"/>
      <c r="G73" s="9"/>
      <c r="H73" s="9"/>
      <c r="I73" s="9"/>
      <c r="J73" s="9"/>
      <c r="K73" s="9"/>
      <c r="L73" s="9"/>
    </row>
    <row r="74" ht="15.75" customHeight="1">
      <c r="A74" s="12" t="s">
        <v>358</v>
      </c>
      <c r="B74" s="14" t="s">
        <v>492</v>
      </c>
      <c r="C74" s="17" t="s">
        <v>493</v>
      </c>
      <c r="D74" s="12" t="s">
        <v>494</v>
      </c>
      <c r="E74" s="12" t="s">
        <v>495</v>
      </c>
      <c r="F74" s="14" t="s">
        <v>222</v>
      </c>
      <c r="G74" s="12" t="s">
        <v>496</v>
      </c>
      <c r="H74" s="14" t="s">
        <v>95</v>
      </c>
      <c r="I74" s="14" t="s">
        <v>20</v>
      </c>
      <c r="J74" s="14"/>
      <c r="K74" s="12"/>
      <c r="L74" s="12"/>
    </row>
    <row r="75" ht="15.75" customHeight="1">
      <c r="A75" s="12" t="s">
        <v>358</v>
      </c>
      <c r="B75" s="14" t="s">
        <v>497</v>
      </c>
      <c r="C75" s="17" t="s">
        <v>498</v>
      </c>
      <c r="D75" s="12" t="s">
        <v>499</v>
      </c>
      <c r="E75" s="12" t="s">
        <v>500</v>
      </c>
      <c r="F75" s="14" t="s">
        <v>222</v>
      </c>
      <c r="G75" s="12" t="s">
        <v>501</v>
      </c>
      <c r="H75" s="14" t="s">
        <v>95</v>
      </c>
      <c r="I75" s="14" t="s">
        <v>20</v>
      </c>
      <c r="J75" s="14"/>
      <c r="K75" s="12"/>
      <c r="L75" s="12"/>
    </row>
    <row r="76" ht="21.75" customHeight="1">
      <c r="A76" s="9" t="s">
        <v>373</v>
      </c>
      <c r="B76" s="9"/>
      <c r="C76" s="9"/>
      <c r="D76" s="9"/>
      <c r="E76" s="9"/>
      <c r="F76" s="9"/>
      <c r="G76" s="9"/>
      <c r="H76" s="9"/>
      <c r="I76" s="9"/>
      <c r="J76" s="9"/>
      <c r="K76" s="9"/>
      <c r="L76" s="9"/>
    </row>
    <row r="77" ht="15.75" customHeight="1">
      <c r="A77" s="12" t="s">
        <v>373</v>
      </c>
      <c r="B77" s="14" t="s">
        <v>502</v>
      </c>
      <c r="C77" s="17" t="s">
        <v>503</v>
      </c>
      <c r="D77" s="12" t="s">
        <v>504</v>
      </c>
      <c r="E77" s="12" t="s">
        <v>505</v>
      </c>
      <c r="F77" s="14" t="s">
        <v>506</v>
      </c>
      <c r="G77" s="12" t="s">
        <v>507</v>
      </c>
      <c r="H77" s="14" t="s">
        <v>95</v>
      </c>
      <c r="I77" s="14" t="s">
        <v>20</v>
      </c>
      <c r="J77" s="14"/>
      <c r="K77" s="12"/>
      <c r="L77" s="12"/>
    </row>
    <row r="78" ht="15.75" customHeight="1">
      <c r="A78" s="12" t="s">
        <v>373</v>
      </c>
      <c r="B78" s="25" t="s">
        <v>508</v>
      </c>
      <c r="C78" s="17" t="s">
        <v>509</v>
      </c>
      <c r="D78" s="12" t="s">
        <v>510</v>
      </c>
      <c r="E78" s="12" t="s">
        <v>511</v>
      </c>
      <c r="F78" s="14" t="s">
        <v>506</v>
      </c>
      <c r="G78" s="12" t="s">
        <v>512</v>
      </c>
      <c r="H78" s="14" t="s">
        <v>95</v>
      </c>
      <c r="I78" s="14" t="s">
        <v>20</v>
      </c>
      <c r="J78" s="14"/>
      <c r="K78" s="12"/>
      <c r="L78" s="12"/>
    </row>
    <row r="79" ht="15.75" customHeight="1">
      <c r="A79" s="12" t="s">
        <v>373</v>
      </c>
      <c r="B79" s="14" t="s">
        <v>513</v>
      </c>
      <c r="C79" s="17" t="s">
        <v>514</v>
      </c>
      <c r="D79" s="12" t="s">
        <v>515</v>
      </c>
      <c r="E79" s="12" t="s">
        <v>516</v>
      </c>
      <c r="F79" s="14" t="s">
        <v>506</v>
      </c>
      <c r="G79" s="12" t="s">
        <v>517</v>
      </c>
      <c r="H79" s="14" t="s">
        <v>95</v>
      </c>
      <c r="I79" s="14" t="s">
        <v>20</v>
      </c>
      <c r="J79" s="14"/>
      <c r="K79" s="12"/>
      <c r="L79" s="12"/>
    </row>
    <row r="80" ht="15.75" customHeight="1">
      <c r="A80" s="12" t="s">
        <v>373</v>
      </c>
      <c r="B80" s="14" t="s">
        <v>518</v>
      </c>
      <c r="C80" s="17" t="s">
        <v>519</v>
      </c>
      <c r="D80" s="12" t="s">
        <v>520</v>
      </c>
      <c r="E80" s="12" t="s">
        <v>521</v>
      </c>
      <c r="F80" s="14" t="s">
        <v>506</v>
      </c>
      <c r="G80" s="12" t="s">
        <v>47</v>
      </c>
      <c r="H80" s="14" t="s">
        <v>95</v>
      </c>
      <c r="I80" s="14" t="s">
        <v>20</v>
      </c>
      <c r="J80" s="14"/>
      <c r="K80" s="12"/>
      <c r="L80" s="12"/>
    </row>
    <row r="81" ht="15.75" customHeight="1">
      <c r="A81" s="12" t="s">
        <v>373</v>
      </c>
      <c r="B81" s="25" t="s">
        <v>522</v>
      </c>
      <c r="C81" s="17" t="s">
        <v>523</v>
      </c>
      <c r="D81" s="12" t="s">
        <v>524</v>
      </c>
      <c r="E81" s="12" t="s">
        <v>525</v>
      </c>
      <c r="F81" s="14" t="s">
        <v>506</v>
      </c>
      <c r="G81" s="12" t="s">
        <v>47</v>
      </c>
      <c r="H81" s="14" t="s">
        <v>95</v>
      </c>
      <c r="I81" s="14" t="s">
        <v>20</v>
      </c>
      <c r="J81" s="14"/>
      <c r="K81" s="12"/>
      <c r="L81" s="12"/>
    </row>
    <row r="82" ht="15.75" customHeight="1">
      <c r="A82" s="12" t="s">
        <v>373</v>
      </c>
      <c r="B82" s="14" t="s">
        <v>526</v>
      </c>
      <c r="C82" s="17" t="s">
        <v>527</v>
      </c>
      <c r="D82" s="12" t="s">
        <v>528</v>
      </c>
      <c r="E82" s="12" t="s">
        <v>529</v>
      </c>
      <c r="F82" s="14" t="s">
        <v>530</v>
      </c>
      <c r="G82" s="12" t="s">
        <v>47</v>
      </c>
      <c r="H82" s="14" t="s">
        <v>48</v>
      </c>
      <c r="I82" s="14" t="s">
        <v>20</v>
      </c>
      <c r="J82" s="14"/>
      <c r="K82" s="12"/>
      <c r="L82" s="12"/>
    </row>
    <row r="83" ht="15.75" customHeight="1">
      <c r="A83" s="12" t="s">
        <v>373</v>
      </c>
      <c r="B83" s="25" t="s">
        <v>531</v>
      </c>
      <c r="C83" s="17" t="s">
        <v>532</v>
      </c>
      <c r="D83" s="12" t="s">
        <v>533</v>
      </c>
      <c r="E83" s="12" t="s">
        <v>534</v>
      </c>
      <c r="F83" s="14" t="s">
        <v>530</v>
      </c>
      <c r="G83" s="12" t="s">
        <v>47</v>
      </c>
      <c r="H83" s="14" t="s">
        <v>95</v>
      </c>
      <c r="I83" s="14" t="s">
        <v>20</v>
      </c>
      <c r="J83" s="14"/>
      <c r="K83" s="12"/>
      <c r="L83" s="12"/>
    </row>
    <row r="84" ht="15.75" customHeight="1">
      <c r="A84" s="12" t="s">
        <v>373</v>
      </c>
      <c r="B84" s="25" t="s">
        <v>535</v>
      </c>
      <c r="C84" s="17" t="s">
        <v>536</v>
      </c>
      <c r="D84" s="12" t="s">
        <v>537</v>
      </c>
      <c r="E84" s="12" t="s">
        <v>538</v>
      </c>
      <c r="F84" s="14" t="s">
        <v>506</v>
      </c>
      <c r="G84" s="12" t="s">
        <v>539</v>
      </c>
      <c r="H84" s="14" t="s">
        <v>48</v>
      </c>
      <c r="I84" s="14" t="s">
        <v>20</v>
      </c>
      <c r="J84" s="14"/>
      <c r="K84" s="12"/>
      <c r="L84" s="12"/>
    </row>
    <row r="85" ht="21.75" customHeight="1">
      <c r="A85" s="9" t="s">
        <v>380</v>
      </c>
      <c r="B85" s="9"/>
      <c r="C85" s="9"/>
      <c r="D85" s="9"/>
      <c r="E85" s="9"/>
      <c r="F85" s="9"/>
      <c r="G85" s="9"/>
      <c r="H85" s="9"/>
      <c r="I85" s="9"/>
      <c r="J85" s="9"/>
      <c r="K85" s="9"/>
      <c r="L85" s="9"/>
    </row>
    <row r="86" ht="15.75" customHeight="1">
      <c r="A86" s="12" t="s">
        <v>380</v>
      </c>
      <c r="B86" s="14" t="s">
        <v>540</v>
      </c>
      <c r="C86" s="17" t="s">
        <v>541</v>
      </c>
      <c r="D86" s="12" t="s">
        <v>542</v>
      </c>
      <c r="E86" s="12" t="s">
        <v>543</v>
      </c>
      <c r="F86" s="14" t="s">
        <v>544</v>
      </c>
      <c r="G86" s="12" t="s">
        <v>47</v>
      </c>
      <c r="H86" s="14" t="s">
        <v>48</v>
      </c>
      <c r="I86" s="14" t="s">
        <v>20</v>
      </c>
      <c r="J86" s="14"/>
      <c r="K86" s="12"/>
      <c r="L86" s="12"/>
    </row>
    <row r="87" ht="15.75" customHeight="1">
      <c r="A87" s="12" t="s">
        <v>380</v>
      </c>
      <c r="B87" s="14" t="s">
        <v>545</v>
      </c>
      <c r="C87" s="17" t="s">
        <v>546</v>
      </c>
      <c r="D87" s="12" t="s">
        <v>547</v>
      </c>
      <c r="E87" s="12" t="s">
        <v>548</v>
      </c>
      <c r="F87" s="14" t="s">
        <v>544</v>
      </c>
      <c r="G87" s="12" t="s">
        <v>47</v>
      </c>
      <c r="H87" s="14" t="s">
        <v>48</v>
      </c>
      <c r="I87" s="14" t="s">
        <v>20</v>
      </c>
      <c r="J87" s="14"/>
      <c r="K87" s="12"/>
      <c r="L87" s="12"/>
    </row>
    <row r="88" ht="15.75" customHeight="1">
      <c r="A88" s="12" t="s">
        <v>380</v>
      </c>
      <c r="B88" s="25" t="s">
        <v>549</v>
      </c>
      <c r="C88" s="17" t="s">
        <v>550</v>
      </c>
      <c r="D88" s="12" t="s">
        <v>551</v>
      </c>
      <c r="E88" s="12" t="s">
        <v>552</v>
      </c>
      <c r="F88" s="14" t="s">
        <v>544</v>
      </c>
      <c r="G88" s="12" t="s">
        <v>47</v>
      </c>
      <c r="H88" s="14" t="s">
        <v>95</v>
      </c>
      <c r="I88" s="14" t="s">
        <v>20</v>
      </c>
      <c r="J88" s="14"/>
      <c r="K88" s="12"/>
      <c r="L88" s="12"/>
    </row>
    <row r="89" ht="15.75" customHeight="1">
      <c r="A89" s="12" t="s">
        <v>380</v>
      </c>
      <c r="B89" s="25" t="s">
        <v>553</v>
      </c>
      <c r="C89" s="17" t="s">
        <v>554</v>
      </c>
      <c r="D89" s="12" t="s">
        <v>555</v>
      </c>
      <c r="E89" s="12" t="s">
        <v>556</v>
      </c>
      <c r="F89" s="14" t="s">
        <v>46</v>
      </c>
      <c r="G89" s="12" t="s">
        <v>160</v>
      </c>
      <c r="H89" s="14" t="s">
        <v>95</v>
      </c>
      <c r="I89" s="14" t="s">
        <v>20</v>
      </c>
      <c r="J89" s="14"/>
      <c r="K89" s="12"/>
      <c r="L89" s="12"/>
    </row>
    <row r="90" ht="15.75" customHeight="1">
      <c r="A90" s="12" t="s">
        <v>380</v>
      </c>
      <c r="B90" s="25" t="s">
        <v>557</v>
      </c>
      <c r="C90" s="17" t="s">
        <v>558</v>
      </c>
      <c r="D90" s="12" t="s">
        <v>559</v>
      </c>
      <c r="E90" s="12" t="s">
        <v>560</v>
      </c>
      <c r="F90" s="14" t="s">
        <v>561</v>
      </c>
      <c r="G90" s="12" t="s">
        <v>47</v>
      </c>
      <c r="H90" s="14" t="s">
        <v>95</v>
      </c>
      <c r="I90" s="14" t="s">
        <v>20</v>
      </c>
      <c r="J90" s="14"/>
      <c r="K90" s="12"/>
      <c r="L90" s="12"/>
    </row>
    <row r="91" ht="21.75" customHeight="1">
      <c r="A91" s="9" t="s">
        <v>386</v>
      </c>
      <c r="B91" s="9"/>
      <c r="C91" s="9"/>
      <c r="D91" s="9"/>
      <c r="E91" s="9"/>
      <c r="F91" s="9"/>
      <c r="G91" s="9"/>
      <c r="H91" s="9"/>
      <c r="I91" s="9"/>
      <c r="J91" s="9"/>
      <c r="K91" s="9"/>
      <c r="L91" s="9"/>
    </row>
    <row r="92" ht="15.75" customHeight="1">
      <c r="A92" s="12" t="s">
        <v>386</v>
      </c>
      <c r="B92" s="14" t="s">
        <v>562</v>
      </c>
      <c r="C92" s="17" t="s">
        <v>563</v>
      </c>
      <c r="D92" s="12" t="s">
        <v>564</v>
      </c>
      <c r="E92" s="12" t="s">
        <v>565</v>
      </c>
      <c r="F92" s="14" t="s">
        <v>46</v>
      </c>
      <c r="G92" s="12" t="s">
        <v>160</v>
      </c>
      <c r="H92" s="14" t="s">
        <v>48</v>
      </c>
      <c r="I92" s="14" t="s">
        <v>20</v>
      </c>
      <c r="J92" s="14"/>
      <c r="K92" s="12"/>
      <c r="L92" s="12"/>
    </row>
    <row r="93" ht="15.75" customHeight="1">
      <c r="A93" s="12" t="s">
        <v>386</v>
      </c>
      <c r="B93" s="14" t="s">
        <v>566</v>
      </c>
      <c r="C93" s="17" t="s">
        <v>567</v>
      </c>
      <c r="D93" s="12" t="s">
        <v>568</v>
      </c>
      <c r="E93" s="12" t="s">
        <v>569</v>
      </c>
      <c r="F93" s="14" t="s">
        <v>46</v>
      </c>
      <c r="G93" s="12" t="s">
        <v>160</v>
      </c>
      <c r="H93" s="14" t="s">
        <v>95</v>
      </c>
      <c r="I93" s="14" t="s">
        <v>20</v>
      </c>
      <c r="J93" s="14"/>
      <c r="K93" s="12"/>
      <c r="L93" s="12"/>
    </row>
    <row r="94" ht="15.75" customHeight="1">
      <c r="A94" s="12" t="s">
        <v>386</v>
      </c>
      <c r="B94" s="25" t="s">
        <v>570</v>
      </c>
      <c r="C94" s="17" t="s">
        <v>571</v>
      </c>
      <c r="D94" s="12" t="s">
        <v>572</v>
      </c>
      <c r="E94" s="12" t="s">
        <v>573</v>
      </c>
      <c r="F94" s="14" t="s">
        <v>46</v>
      </c>
      <c r="G94" s="12" t="s">
        <v>160</v>
      </c>
      <c r="H94" s="14" t="s">
        <v>95</v>
      </c>
      <c r="I94" s="14" t="s">
        <v>20</v>
      </c>
      <c r="J94" s="14"/>
      <c r="K94" s="12"/>
      <c r="L94" s="12"/>
    </row>
    <row r="95" ht="15.75" customHeight="1">
      <c r="A95" s="12" t="s">
        <v>386</v>
      </c>
      <c r="B95" s="25" t="s">
        <v>574</v>
      </c>
      <c r="C95" s="17" t="s">
        <v>575</v>
      </c>
      <c r="D95" s="12" t="s">
        <v>576</v>
      </c>
      <c r="E95" s="12" t="s">
        <v>577</v>
      </c>
      <c r="F95" s="14" t="s">
        <v>46</v>
      </c>
      <c r="G95" s="12" t="s">
        <v>160</v>
      </c>
      <c r="H95" s="14" t="s">
        <v>95</v>
      </c>
      <c r="I95" s="14" t="s">
        <v>20</v>
      </c>
      <c r="J95" s="14"/>
      <c r="K95" s="12"/>
      <c r="L95" s="12"/>
    </row>
    <row r="96" ht="15.75" customHeight="1">
      <c r="A96" s="12" t="s">
        <v>386</v>
      </c>
      <c r="B96" s="14" t="s">
        <v>578</v>
      </c>
      <c r="C96" s="17" t="s">
        <v>579</v>
      </c>
      <c r="D96" s="12" t="s">
        <v>580</v>
      </c>
      <c r="E96" s="12" t="s">
        <v>581</v>
      </c>
      <c r="F96" s="14" t="s">
        <v>46</v>
      </c>
      <c r="G96" s="12" t="s">
        <v>47</v>
      </c>
      <c r="H96" s="14" t="s">
        <v>95</v>
      </c>
      <c r="I96" s="14" t="s">
        <v>20</v>
      </c>
      <c r="J96" s="14"/>
      <c r="K96" s="12"/>
      <c r="L96" s="12"/>
    </row>
    <row r="97" ht="15.75" customHeight="1">
      <c r="A97" s="12" t="s">
        <v>386</v>
      </c>
      <c r="B97" s="14" t="s">
        <v>582</v>
      </c>
      <c r="C97" s="17" t="s">
        <v>583</v>
      </c>
      <c r="D97" s="12" t="s">
        <v>584</v>
      </c>
      <c r="E97" s="12" t="s">
        <v>585</v>
      </c>
      <c r="F97" s="14" t="s">
        <v>247</v>
      </c>
      <c r="G97" s="12" t="s">
        <v>586</v>
      </c>
      <c r="H97" s="14" t="s">
        <v>99</v>
      </c>
      <c r="I97" s="14" t="s">
        <v>20</v>
      </c>
      <c r="J97" s="14"/>
      <c r="K97" s="12"/>
      <c r="L97" s="12"/>
    </row>
    <row r="98" ht="15.75" customHeight="1">
      <c r="A98" s="12" t="s">
        <v>386</v>
      </c>
      <c r="B98" s="14" t="s">
        <v>587</v>
      </c>
      <c r="C98" s="17" t="s">
        <v>588</v>
      </c>
      <c r="D98" s="12" t="s">
        <v>589</v>
      </c>
      <c r="E98" s="12" t="s">
        <v>590</v>
      </c>
      <c r="F98" s="14" t="s">
        <v>184</v>
      </c>
      <c r="G98" s="12" t="s">
        <v>160</v>
      </c>
      <c r="H98" s="14" t="s">
        <v>95</v>
      </c>
      <c r="I98" s="14" t="s">
        <v>20</v>
      </c>
      <c r="J98" s="14"/>
      <c r="K98" s="12"/>
      <c r="L98" s="12"/>
    </row>
    <row r="99" ht="15.75" customHeight="1">
      <c r="A99" s="12" t="s">
        <v>386</v>
      </c>
      <c r="B99" s="25" t="s">
        <v>591</v>
      </c>
      <c r="C99" s="17" t="s">
        <v>592</v>
      </c>
      <c r="D99" s="12" t="s">
        <v>593</v>
      </c>
      <c r="E99" s="12" t="s">
        <v>594</v>
      </c>
      <c r="F99" s="14" t="s">
        <v>46</v>
      </c>
      <c r="G99" s="12" t="s">
        <v>160</v>
      </c>
      <c r="H99" s="14" t="s">
        <v>95</v>
      </c>
      <c r="I99" s="14" t="s">
        <v>20</v>
      </c>
      <c r="J99" s="14"/>
      <c r="K99" s="12"/>
      <c r="L99" s="12"/>
    </row>
    <row r="100" ht="15.75" customHeight="1">
      <c r="A100" s="12" t="s">
        <v>386</v>
      </c>
      <c r="B100" s="25" t="s">
        <v>595</v>
      </c>
      <c r="C100" s="17" t="s">
        <v>596</v>
      </c>
      <c r="D100" s="12" t="s">
        <v>597</v>
      </c>
      <c r="E100" s="12" t="s">
        <v>598</v>
      </c>
      <c r="F100" s="14" t="s">
        <v>46</v>
      </c>
      <c r="G100" s="12" t="s">
        <v>160</v>
      </c>
      <c r="H100" s="14" t="s">
        <v>95</v>
      </c>
      <c r="I100" s="14" t="s">
        <v>20</v>
      </c>
      <c r="J100" s="14"/>
      <c r="K100" s="12"/>
      <c r="L100" s="12"/>
    </row>
    <row r="101" ht="21.75" customHeight="1">
      <c r="A101" s="9" t="s">
        <v>395</v>
      </c>
      <c r="B101" s="9"/>
      <c r="C101" s="9"/>
      <c r="D101" s="9"/>
      <c r="E101" s="9"/>
      <c r="F101" s="9"/>
      <c r="G101" s="9"/>
      <c r="H101" s="9"/>
      <c r="I101" s="9"/>
      <c r="J101" s="9"/>
      <c r="K101" s="9"/>
      <c r="L101" s="9"/>
    </row>
    <row r="102" ht="15.75" customHeight="1">
      <c r="A102" s="12" t="s">
        <v>395</v>
      </c>
      <c r="B102" s="14" t="s">
        <v>599</v>
      </c>
      <c r="C102" s="17" t="s">
        <v>600</v>
      </c>
      <c r="D102" s="12" t="s">
        <v>601</v>
      </c>
      <c r="E102" s="12" t="s">
        <v>602</v>
      </c>
      <c r="F102" s="14" t="s">
        <v>70</v>
      </c>
      <c r="G102" s="12" t="s">
        <v>603</v>
      </c>
      <c r="H102" s="14" t="s">
        <v>48</v>
      </c>
      <c r="I102" s="14" t="s">
        <v>20</v>
      </c>
      <c r="J102" s="14"/>
      <c r="K102" s="12"/>
      <c r="L102" s="12"/>
    </row>
    <row r="103" ht="15.75" customHeight="1">
      <c r="A103" s="12" t="s">
        <v>395</v>
      </c>
      <c r="B103" s="25" t="s">
        <v>604</v>
      </c>
      <c r="C103" s="17" t="s">
        <v>605</v>
      </c>
      <c r="D103" s="12" t="s">
        <v>606</v>
      </c>
      <c r="E103" s="12" t="s">
        <v>607</v>
      </c>
      <c r="F103" s="14" t="s">
        <v>70</v>
      </c>
      <c r="G103" s="12" t="s">
        <v>603</v>
      </c>
      <c r="H103" s="14" t="s">
        <v>95</v>
      </c>
      <c r="I103" s="14" t="s">
        <v>20</v>
      </c>
      <c r="J103" s="14"/>
      <c r="K103" s="12"/>
      <c r="L103" s="12"/>
    </row>
    <row r="104" ht="15.75" customHeight="1">
      <c r="A104" s="12" t="s">
        <v>395</v>
      </c>
      <c r="B104" s="14" t="s">
        <v>608</v>
      </c>
      <c r="C104" s="17" t="s">
        <v>609</v>
      </c>
      <c r="D104" s="12" t="s">
        <v>610</v>
      </c>
      <c r="E104" s="12" t="s">
        <v>611</v>
      </c>
      <c r="F104" s="14" t="s">
        <v>70</v>
      </c>
      <c r="G104" s="12" t="s">
        <v>603</v>
      </c>
      <c r="H104" s="14" t="s">
        <v>95</v>
      </c>
      <c r="I104" s="14" t="s">
        <v>20</v>
      </c>
      <c r="J104" s="14"/>
      <c r="K104" s="12"/>
      <c r="L104" s="12"/>
    </row>
    <row r="105" ht="15.75" customHeight="1">
      <c r="A105" s="12" t="s">
        <v>395</v>
      </c>
      <c r="B105" s="25" t="s">
        <v>612</v>
      </c>
      <c r="C105" s="17" t="s">
        <v>613</v>
      </c>
      <c r="D105" s="12" t="s">
        <v>614</v>
      </c>
      <c r="E105" s="12" t="s">
        <v>615</v>
      </c>
      <c r="F105" s="14" t="s">
        <v>70</v>
      </c>
      <c r="G105" s="12" t="s">
        <v>603</v>
      </c>
      <c r="H105" s="14" t="s">
        <v>95</v>
      </c>
      <c r="I105" s="14" t="s">
        <v>20</v>
      </c>
      <c r="J105" s="14"/>
      <c r="K105" s="12"/>
      <c r="L105" s="12"/>
    </row>
    <row r="106" ht="15.75" customHeight="1">
      <c r="A106" s="12" t="s">
        <v>395</v>
      </c>
      <c r="B106" s="14" t="s">
        <v>616</v>
      </c>
      <c r="C106" s="17" t="s">
        <v>617</v>
      </c>
      <c r="D106" s="12" t="s">
        <v>618</v>
      </c>
      <c r="E106" s="12" t="s">
        <v>619</v>
      </c>
      <c r="F106" s="14" t="s">
        <v>368</v>
      </c>
      <c r="G106" s="12" t="s">
        <v>620</v>
      </c>
      <c r="H106" s="14" t="s">
        <v>95</v>
      </c>
      <c r="I106" s="14" t="s">
        <v>20</v>
      </c>
      <c r="J106" s="14"/>
      <c r="K106" s="12"/>
      <c r="L106" s="12"/>
    </row>
    <row r="107" ht="15.75" customHeight="1">
      <c r="A107" s="12" t="s">
        <v>395</v>
      </c>
      <c r="B107" s="14" t="s">
        <v>621</v>
      </c>
      <c r="C107" s="17" t="s">
        <v>622</v>
      </c>
      <c r="D107" s="12" t="s">
        <v>623</v>
      </c>
      <c r="E107" s="12" t="s">
        <v>624</v>
      </c>
      <c r="F107" s="14" t="s">
        <v>368</v>
      </c>
      <c r="G107" s="12" t="s">
        <v>620</v>
      </c>
      <c r="H107" s="14" t="s">
        <v>99</v>
      </c>
      <c r="I107" s="14" t="s">
        <v>20</v>
      </c>
      <c r="J107" s="14"/>
      <c r="K107" s="12"/>
      <c r="L107" s="12"/>
    </row>
    <row r="108" ht="15.75" customHeight="1">
      <c r="A108" s="12" t="s">
        <v>395</v>
      </c>
      <c r="B108" s="14" t="s">
        <v>625</v>
      </c>
      <c r="C108" s="17" t="s">
        <v>626</v>
      </c>
      <c r="D108" s="12" t="s">
        <v>627</v>
      </c>
      <c r="E108" s="12" t="s">
        <v>628</v>
      </c>
      <c r="F108" s="14" t="s">
        <v>206</v>
      </c>
      <c r="G108" s="12" t="s">
        <v>47</v>
      </c>
      <c r="H108" s="14" t="s">
        <v>48</v>
      </c>
      <c r="I108" s="14" t="s">
        <v>20</v>
      </c>
      <c r="J108" s="14"/>
      <c r="K108" s="12"/>
      <c r="L108" s="12"/>
    </row>
    <row r="109" ht="15.75" customHeight="1">
      <c r="A109" s="12" t="s">
        <v>395</v>
      </c>
      <c r="B109" s="25" t="s">
        <v>629</v>
      </c>
      <c r="C109" s="17" t="s">
        <v>630</v>
      </c>
      <c r="D109" s="12" t="s">
        <v>631</v>
      </c>
      <c r="E109" s="12" t="s">
        <v>632</v>
      </c>
      <c r="F109" s="14" t="s">
        <v>70</v>
      </c>
      <c r="G109" s="12" t="s">
        <v>47</v>
      </c>
      <c r="H109" s="14" t="s">
        <v>48</v>
      </c>
      <c r="I109" s="14" t="s">
        <v>20</v>
      </c>
      <c r="J109" s="14"/>
      <c r="K109" s="12"/>
      <c r="L109" s="12"/>
    </row>
    <row r="110" ht="21.75" customHeight="1">
      <c r="A110" s="9" t="s">
        <v>405</v>
      </c>
      <c r="B110" s="9"/>
      <c r="C110" s="9"/>
      <c r="D110" s="9"/>
      <c r="E110" s="9"/>
      <c r="F110" s="9"/>
      <c r="G110" s="9"/>
      <c r="H110" s="9"/>
      <c r="I110" s="9"/>
      <c r="J110" s="9"/>
      <c r="K110" s="9"/>
      <c r="L110" s="9"/>
    </row>
    <row r="111" ht="15.75" customHeight="1">
      <c r="A111" s="12" t="s">
        <v>405</v>
      </c>
      <c r="B111" s="14" t="s">
        <v>633</v>
      </c>
      <c r="C111" s="17" t="s">
        <v>634</v>
      </c>
      <c r="D111" s="12" t="s">
        <v>635</v>
      </c>
      <c r="E111" s="12" t="s">
        <v>636</v>
      </c>
      <c r="F111" s="14" t="s">
        <v>544</v>
      </c>
      <c r="G111" s="12" t="s">
        <v>47</v>
      </c>
      <c r="H111" s="14" t="s">
        <v>48</v>
      </c>
      <c r="I111" s="14" t="s">
        <v>20</v>
      </c>
      <c r="J111" s="14"/>
      <c r="K111" s="12"/>
      <c r="L111" s="12"/>
    </row>
    <row r="112" ht="15.75" customHeight="1">
      <c r="A112" s="12" t="s">
        <v>405</v>
      </c>
      <c r="B112" s="14" t="s">
        <v>637</v>
      </c>
      <c r="C112" s="17" t="s">
        <v>638</v>
      </c>
      <c r="D112" s="12" t="s">
        <v>639</v>
      </c>
      <c r="E112" s="12" t="s">
        <v>640</v>
      </c>
      <c r="F112" s="14" t="s">
        <v>544</v>
      </c>
      <c r="G112" s="12" t="s">
        <v>47</v>
      </c>
      <c r="H112" s="14" t="s">
        <v>95</v>
      </c>
      <c r="I112" s="14" t="s">
        <v>20</v>
      </c>
      <c r="J112" s="14"/>
      <c r="K112" s="12"/>
      <c r="L112" s="12"/>
    </row>
    <row r="113" ht="15.75" customHeight="1">
      <c r="A113" s="12" t="s">
        <v>405</v>
      </c>
      <c r="B113" s="14" t="s">
        <v>641</v>
      </c>
      <c r="C113" s="17" t="s">
        <v>642</v>
      </c>
      <c r="D113" s="12" t="s">
        <v>643</v>
      </c>
      <c r="E113" s="12" t="s">
        <v>644</v>
      </c>
      <c r="F113" s="14" t="s">
        <v>544</v>
      </c>
      <c r="G113" s="12" t="s">
        <v>47</v>
      </c>
      <c r="H113" s="14" t="s">
        <v>95</v>
      </c>
      <c r="I113" s="14" t="s">
        <v>20</v>
      </c>
      <c r="J113" s="14"/>
      <c r="K113" s="12"/>
      <c r="L113" s="12"/>
    </row>
    <row r="114" ht="15.75" customHeight="1">
      <c r="A114" s="12" t="s">
        <v>405</v>
      </c>
      <c r="B114" s="14" t="s">
        <v>645</v>
      </c>
      <c r="C114" s="17" t="s">
        <v>646</v>
      </c>
      <c r="D114" s="12" t="s">
        <v>647</v>
      </c>
      <c r="E114" s="12" t="s">
        <v>648</v>
      </c>
      <c r="F114" s="14" t="s">
        <v>544</v>
      </c>
      <c r="G114" s="12" t="s">
        <v>47</v>
      </c>
      <c r="H114" s="14" t="s">
        <v>48</v>
      </c>
      <c r="I114" s="14" t="s">
        <v>20</v>
      </c>
      <c r="J114" s="14"/>
      <c r="K114" s="12"/>
      <c r="L114" s="12"/>
    </row>
    <row r="115" ht="15.75" customHeight="1">
      <c r="A115" s="12" t="s">
        <v>405</v>
      </c>
      <c r="B115" s="14" t="s">
        <v>649</v>
      </c>
      <c r="C115" s="17" t="s">
        <v>650</v>
      </c>
      <c r="D115" s="12" t="s">
        <v>651</v>
      </c>
      <c r="E115" s="12" t="s">
        <v>652</v>
      </c>
      <c r="F115" s="14" t="s">
        <v>544</v>
      </c>
      <c r="G115" s="12" t="s">
        <v>47</v>
      </c>
      <c r="H115" s="14" t="s">
        <v>95</v>
      </c>
      <c r="I115" s="14" t="s">
        <v>20</v>
      </c>
      <c r="J115" s="14"/>
      <c r="K115" s="12"/>
      <c r="L115" s="12"/>
    </row>
    <row r="116" ht="15.75" customHeight="1">
      <c r="A116" s="12" t="s">
        <v>405</v>
      </c>
      <c r="B116" s="25" t="s">
        <v>653</v>
      </c>
      <c r="C116" s="17" t="s">
        <v>654</v>
      </c>
      <c r="D116" s="12" t="s">
        <v>655</v>
      </c>
      <c r="E116" s="12" t="s">
        <v>656</v>
      </c>
      <c r="F116" s="14" t="s">
        <v>544</v>
      </c>
      <c r="G116" s="12" t="s">
        <v>47</v>
      </c>
      <c r="H116" s="14" t="s">
        <v>95</v>
      </c>
      <c r="I116" s="14" t="s">
        <v>20</v>
      </c>
      <c r="J116" s="14"/>
      <c r="K116" s="12"/>
      <c r="L116" s="12"/>
    </row>
    <row r="117" ht="15.75" customHeight="1">
      <c r="A117" s="12" t="s">
        <v>405</v>
      </c>
      <c r="B117" s="14" t="s">
        <v>657</v>
      </c>
      <c r="C117" s="17" t="s">
        <v>658</v>
      </c>
      <c r="D117" s="12" t="s">
        <v>659</v>
      </c>
      <c r="E117" s="12" t="s">
        <v>660</v>
      </c>
      <c r="F117" s="14" t="s">
        <v>661</v>
      </c>
      <c r="G117" s="12" t="s">
        <v>662</v>
      </c>
      <c r="H117" s="14" t="s">
        <v>95</v>
      </c>
      <c r="I117" s="14" t="s">
        <v>20</v>
      </c>
      <c r="J117" s="14"/>
      <c r="K117" s="12"/>
      <c r="L117" s="12"/>
    </row>
    <row r="118" ht="15.75" customHeight="1">
      <c r="A118" s="12" t="s">
        <v>405</v>
      </c>
      <c r="B118" s="14" t="s">
        <v>663</v>
      </c>
      <c r="C118" s="17" t="s">
        <v>664</v>
      </c>
      <c r="D118" s="12" t="s">
        <v>665</v>
      </c>
      <c r="E118" s="12" t="s">
        <v>666</v>
      </c>
      <c r="F118" s="14" t="s">
        <v>661</v>
      </c>
      <c r="G118" s="12" t="s">
        <v>662</v>
      </c>
      <c r="H118" s="14" t="s">
        <v>48</v>
      </c>
      <c r="I118" s="14" t="s">
        <v>20</v>
      </c>
      <c r="J118" s="14"/>
      <c r="K118" s="12"/>
      <c r="L118" s="12"/>
    </row>
    <row r="119" ht="21.75" customHeight="1">
      <c r="A119" s="9" t="s">
        <v>421</v>
      </c>
      <c r="B119" s="9"/>
      <c r="C119" s="9"/>
      <c r="D119" s="9"/>
      <c r="E119" s="9"/>
      <c r="F119" s="9"/>
      <c r="G119" s="9"/>
      <c r="H119" s="9"/>
      <c r="I119" s="9"/>
      <c r="J119" s="9"/>
      <c r="K119" s="9"/>
      <c r="L119" s="9"/>
    </row>
    <row r="120" ht="15.75" customHeight="1">
      <c r="A120" s="12" t="s">
        <v>421</v>
      </c>
      <c r="B120" s="25" t="s">
        <v>667</v>
      </c>
      <c r="C120" s="17" t="s">
        <v>668</v>
      </c>
      <c r="D120" s="12" t="s">
        <v>669</v>
      </c>
      <c r="E120" s="12" t="s">
        <v>670</v>
      </c>
      <c r="F120" s="14" t="s">
        <v>149</v>
      </c>
      <c r="G120" s="12" t="s">
        <v>47</v>
      </c>
      <c r="H120" s="14" t="s">
        <v>95</v>
      </c>
      <c r="I120" s="14" t="s">
        <v>20</v>
      </c>
      <c r="J120" s="14"/>
      <c r="K120" s="12"/>
      <c r="L120" s="12"/>
    </row>
    <row r="121" ht="15.75" customHeight="1">
      <c r="A121" s="12" t="s">
        <v>421</v>
      </c>
      <c r="B121" s="25" t="s">
        <v>671</v>
      </c>
      <c r="C121" s="17" t="s">
        <v>672</v>
      </c>
      <c r="D121" s="12" t="s">
        <v>673</v>
      </c>
      <c r="E121" s="12" t="s">
        <v>674</v>
      </c>
      <c r="F121" s="14" t="s">
        <v>149</v>
      </c>
      <c r="G121" s="12" t="s">
        <v>47</v>
      </c>
      <c r="H121" s="14" t="s">
        <v>95</v>
      </c>
      <c r="I121" s="14" t="s">
        <v>20</v>
      </c>
      <c r="J121" s="14"/>
      <c r="K121" s="12"/>
      <c r="L121" s="12"/>
    </row>
    <row r="122" ht="15.75" customHeight="1">
      <c r="A122" s="12" t="s">
        <v>421</v>
      </c>
      <c r="B122" s="25" t="s">
        <v>675</v>
      </c>
      <c r="C122" s="17" t="s">
        <v>676</v>
      </c>
      <c r="D122" s="12" t="s">
        <v>677</v>
      </c>
      <c r="E122" s="12" t="s">
        <v>678</v>
      </c>
      <c r="F122" s="14" t="s">
        <v>149</v>
      </c>
      <c r="G122" s="12" t="s">
        <v>47</v>
      </c>
      <c r="H122" s="14" t="s">
        <v>99</v>
      </c>
      <c r="I122" s="14" t="s">
        <v>20</v>
      </c>
      <c r="J122" s="14"/>
      <c r="K122" s="12"/>
      <c r="L122" s="12"/>
    </row>
    <row r="123" ht="15.75" customHeight="1">
      <c r="A123" s="12" t="s">
        <v>421</v>
      </c>
      <c r="B123" s="25" t="s">
        <v>679</v>
      </c>
      <c r="C123" s="17" t="s">
        <v>680</v>
      </c>
      <c r="D123" s="12" t="s">
        <v>681</v>
      </c>
      <c r="E123" s="12" t="s">
        <v>682</v>
      </c>
      <c r="F123" s="14" t="s">
        <v>683</v>
      </c>
      <c r="G123" s="12" t="s">
        <v>684</v>
      </c>
      <c r="H123" s="14" t="s">
        <v>95</v>
      </c>
      <c r="I123" s="14" t="s">
        <v>20</v>
      </c>
      <c r="J123" s="14"/>
      <c r="K123" s="12"/>
      <c r="L123" s="12"/>
    </row>
    <row r="124" ht="15.75" customHeight="1">
      <c r="A124" s="12" t="s">
        <v>421</v>
      </c>
      <c r="B124" s="25" t="s">
        <v>685</v>
      </c>
      <c r="C124" s="17" t="s">
        <v>686</v>
      </c>
      <c r="D124" s="12" t="s">
        <v>687</v>
      </c>
      <c r="E124" s="12" t="s">
        <v>688</v>
      </c>
      <c r="F124" s="14" t="s">
        <v>683</v>
      </c>
      <c r="G124" s="12" t="s">
        <v>684</v>
      </c>
      <c r="H124" s="14" t="s">
        <v>95</v>
      </c>
      <c r="I124" s="14" t="s">
        <v>20</v>
      </c>
      <c r="J124" s="14"/>
      <c r="K124" s="12"/>
      <c r="L124" s="12"/>
    </row>
    <row r="125" ht="15.75" customHeight="1">
      <c r="A125" s="12" t="s">
        <v>421</v>
      </c>
      <c r="B125" s="25" t="s">
        <v>689</v>
      </c>
      <c r="C125" s="17" t="s">
        <v>690</v>
      </c>
      <c r="D125" s="12" t="s">
        <v>691</v>
      </c>
      <c r="E125" s="12" t="s">
        <v>692</v>
      </c>
      <c r="F125" s="14" t="s">
        <v>149</v>
      </c>
      <c r="G125" s="12" t="s">
        <v>47</v>
      </c>
      <c r="H125" s="14" t="s">
        <v>95</v>
      </c>
      <c r="I125" s="14" t="s">
        <v>20</v>
      </c>
      <c r="J125" s="14"/>
      <c r="K125" s="12"/>
      <c r="L125" s="12"/>
    </row>
    <row r="126" ht="15.75" customHeight="1">
      <c r="A126" s="12" t="s">
        <v>421</v>
      </c>
      <c r="B126" s="25" t="s">
        <v>693</v>
      </c>
      <c r="C126" s="17" t="s">
        <v>694</v>
      </c>
      <c r="D126" s="12" t="s">
        <v>695</v>
      </c>
      <c r="E126" s="12" t="s">
        <v>696</v>
      </c>
      <c r="F126" s="14" t="s">
        <v>149</v>
      </c>
      <c r="G126" s="12" t="s">
        <v>697</v>
      </c>
      <c r="H126" s="14" t="s">
        <v>95</v>
      </c>
      <c r="I126" s="14" t="s">
        <v>20</v>
      </c>
      <c r="J126" s="14"/>
      <c r="K126" s="12"/>
      <c r="L126" s="12"/>
    </row>
    <row r="127" ht="15.75" customHeight="1">
      <c r="A127" s="12" t="s">
        <v>421</v>
      </c>
      <c r="B127" s="25" t="s">
        <v>698</v>
      </c>
      <c r="C127" s="17" t="s">
        <v>699</v>
      </c>
      <c r="D127" s="12" t="s">
        <v>700</v>
      </c>
      <c r="E127" s="12" t="s">
        <v>701</v>
      </c>
      <c r="F127" s="14" t="s">
        <v>184</v>
      </c>
      <c r="G127" s="12" t="s">
        <v>47</v>
      </c>
      <c r="H127" s="14" t="s">
        <v>95</v>
      </c>
      <c r="I127" s="14" t="s">
        <v>20</v>
      </c>
      <c r="J127" s="14"/>
      <c r="K127" s="12"/>
      <c r="L127" s="12"/>
    </row>
    <row r="128" ht="15.75" customHeight="1">
      <c r="A128" s="12" t="s">
        <v>421</v>
      </c>
      <c r="B128" s="25" t="s">
        <v>702</v>
      </c>
      <c r="C128" s="17" t="s">
        <v>703</v>
      </c>
      <c r="D128" s="12" t="s">
        <v>704</v>
      </c>
      <c r="E128" s="12" t="s">
        <v>705</v>
      </c>
      <c r="F128" s="14" t="s">
        <v>83</v>
      </c>
      <c r="G128" s="12" t="s">
        <v>47</v>
      </c>
      <c r="H128" s="14" t="s">
        <v>95</v>
      </c>
      <c r="I128" s="14" t="s">
        <v>20</v>
      </c>
      <c r="J128" s="14"/>
      <c r="K128" s="12"/>
      <c r="L128" s="12"/>
    </row>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L$128"/>
  <conditionalFormatting sqref="I3:I128">
    <cfRule type="cellIs" dxfId="0" priority="1" operator="equal">
      <formula>"Pass"</formula>
    </cfRule>
  </conditionalFormatting>
  <conditionalFormatting sqref="I3:I128">
    <cfRule type="cellIs" dxfId="1" priority="2" operator="equal">
      <formula>"Fail"</formula>
    </cfRule>
  </conditionalFormatting>
  <conditionalFormatting sqref="I3:I128">
    <cfRule type="cellIs" dxfId="2" priority="3" operator="equal">
      <formula>"Blocked"</formula>
    </cfRule>
  </conditionalFormatting>
  <conditionalFormatting sqref="I3:I128">
    <cfRule type="cellIs" dxfId="3" priority="4" operator="equal">
      <formula>"N/A"</formula>
    </cfRule>
  </conditionalFormatting>
  <conditionalFormatting sqref="H3:H128">
    <cfRule type="cellIs" dxfId="4" priority="5" operator="equal">
      <formula>"Non negotiable"</formula>
    </cfRule>
  </conditionalFormatting>
  <dataValidations>
    <dataValidation type="list" allowBlank="1" sqref="I3:I128">
      <formula1>"Not Started,In Progress,Pass,Fail,Blocked,N/A,Requires client testing,TBD"</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44.0"/>
    <col customWidth="1" min="3" max="3" width="80.0"/>
    <col customWidth="1" min="4" max="26" width="8.71"/>
  </cols>
  <sheetData>
    <row r="2">
      <c r="B2" s="1" t="s">
        <v>2</v>
      </c>
    </row>
    <row r="4" ht="15.0" customHeight="1">
      <c r="B4" s="7" t="s">
        <v>15</v>
      </c>
    </row>
    <row r="5" ht="30.0" customHeight="1">
      <c r="B5" s="10" t="s">
        <v>23</v>
      </c>
    </row>
    <row r="6" ht="30.0" customHeight="1">
      <c r="B6" s="10" t="s">
        <v>26</v>
      </c>
    </row>
    <row r="7" ht="15.0" customHeight="1">
      <c r="B7" s="10" t="s">
        <v>27</v>
      </c>
    </row>
    <row r="8" ht="15.0" customHeight="1">
      <c r="B8" s="10" t="s">
        <v>28</v>
      </c>
    </row>
    <row r="9" ht="30.0" customHeight="1">
      <c r="B9" s="10" t="s">
        <v>30</v>
      </c>
    </row>
    <row r="10" ht="15.0" customHeight="1">
      <c r="B10" s="10" t="s">
        <v>31</v>
      </c>
    </row>
    <row r="11" ht="30.0" customHeight="1">
      <c r="B11" s="10" t="s">
        <v>33</v>
      </c>
    </row>
    <row r="13" ht="15.0" customHeight="1">
      <c r="B13" s="7" t="s">
        <v>34</v>
      </c>
    </row>
    <row r="14" ht="75.0" customHeight="1">
      <c r="B14" s="10" t="s">
        <v>36</v>
      </c>
    </row>
    <row r="16" ht="15.0" customHeight="1">
      <c r="B16" s="7" t="s">
        <v>38</v>
      </c>
    </row>
    <row r="17">
      <c r="B17" s="10" t="s">
        <v>39</v>
      </c>
      <c r="C17" s="18" t="s">
        <v>40</v>
      </c>
    </row>
    <row r="18">
      <c r="B18" s="10" t="s">
        <v>49</v>
      </c>
      <c r="C18" s="18" t="s">
        <v>50</v>
      </c>
    </row>
    <row r="19">
      <c r="B19" s="10" t="s">
        <v>51</v>
      </c>
      <c r="C19" s="18" t="s">
        <v>52</v>
      </c>
    </row>
    <row r="20">
      <c r="B20" s="10" t="s">
        <v>53</v>
      </c>
      <c r="C20" s="18" t="s">
        <v>54</v>
      </c>
    </row>
    <row r="21" ht="15.75" customHeight="1">
      <c r="B21" s="10" t="s">
        <v>56</v>
      </c>
      <c r="C21" s="18" t="s">
        <v>58</v>
      </c>
    </row>
    <row r="22" ht="45.0" customHeight="1">
      <c r="B22" s="20" t="s">
        <v>61</v>
      </c>
    </row>
    <row r="23" ht="15.75" customHeight="1"/>
    <row r="24" ht="15.0" customHeight="1">
      <c r="B24" s="7" t="s">
        <v>63</v>
      </c>
    </row>
    <row r="25" ht="15.75" customHeight="1">
      <c r="B25" s="22" t="s">
        <v>20</v>
      </c>
      <c r="C25" s="10" t="s">
        <v>67</v>
      </c>
    </row>
    <row r="26" ht="15.75" customHeight="1">
      <c r="B26" s="22" t="s">
        <v>43</v>
      </c>
      <c r="C26" s="10" t="s">
        <v>71</v>
      </c>
    </row>
    <row r="27" ht="15.75" customHeight="1">
      <c r="B27" s="22" t="s">
        <v>60</v>
      </c>
      <c r="C27" s="10" t="s">
        <v>72</v>
      </c>
    </row>
    <row r="28" ht="15.75" customHeight="1">
      <c r="B28" s="22" t="s">
        <v>66</v>
      </c>
      <c r="C28" s="10" t="s">
        <v>74</v>
      </c>
    </row>
    <row r="29" ht="15.75" customHeight="1">
      <c r="B29" s="22" t="s">
        <v>76</v>
      </c>
      <c r="C29" s="10" t="s">
        <v>78</v>
      </c>
    </row>
    <row r="30" ht="15.75" customHeight="1">
      <c r="B30" s="22" t="s">
        <v>80</v>
      </c>
      <c r="C30" s="10" t="s">
        <v>82</v>
      </c>
    </row>
    <row r="31" ht="15.75" customHeight="1">
      <c r="B31" s="22" t="s">
        <v>85</v>
      </c>
      <c r="C31" s="10" t="s">
        <v>86</v>
      </c>
    </row>
    <row r="32" ht="15.75" customHeight="1">
      <c r="B32" s="22" t="s">
        <v>88</v>
      </c>
      <c r="C32" s="10" t="s">
        <v>89</v>
      </c>
    </row>
    <row r="33" ht="15.75" customHeight="1"/>
    <row r="34" ht="15.0" customHeight="1">
      <c r="B34" s="7" t="s">
        <v>14</v>
      </c>
    </row>
    <row r="35" ht="15.75" customHeight="1">
      <c r="B35" s="22" t="s">
        <v>48</v>
      </c>
      <c r="C35" s="10" t="s">
        <v>93</v>
      </c>
    </row>
    <row r="36" ht="15.75" customHeight="1">
      <c r="B36" s="22" t="s">
        <v>95</v>
      </c>
      <c r="C36" s="10" t="s">
        <v>97</v>
      </c>
    </row>
    <row r="37" ht="15.75" customHeight="1">
      <c r="B37" s="22" t="s">
        <v>99</v>
      </c>
      <c r="C37" s="10" t="s">
        <v>100</v>
      </c>
    </row>
    <row r="38" ht="15.75" customHeight="1"/>
    <row r="39" ht="15.0" customHeight="1">
      <c r="B39" s="7" t="s">
        <v>102</v>
      </c>
    </row>
    <row r="40" ht="45.0" customHeight="1">
      <c r="B40" s="10" t="s">
        <v>105</v>
      </c>
    </row>
    <row r="41" ht="15.75" customHeight="1"/>
    <row r="42" ht="15.0" customHeight="1">
      <c r="B42" s="7" t="s">
        <v>106</v>
      </c>
    </row>
    <row r="43" ht="15.75" customHeight="1">
      <c r="B43" s="22" t="s">
        <v>108</v>
      </c>
      <c r="C43" s="10" t="s">
        <v>109</v>
      </c>
    </row>
    <row r="44" ht="15.75" customHeight="1">
      <c r="B44" s="22" t="s">
        <v>111</v>
      </c>
      <c r="C44" s="10" t="s">
        <v>112</v>
      </c>
    </row>
    <row r="45" ht="15.75" customHeight="1">
      <c r="B45" s="22" t="s">
        <v>116</v>
      </c>
      <c r="C45" s="10" t="s">
        <v>118</v>
      </c>
    </row>
    <row r="46" ht="15.75" customHeight="1">
      <c r="B46" s="22" t="s">
        <v>122</v>
      </c>
      <c r="C46" s="10" t="s">
        <v>123</v>
      </c>
    </row>
    <row r="47" ht="15.75" customHeight="1">
      <c r="B47" s="22" t="s">
        <v>124</v>
      </c>
      <c r="C47" s="10" t="s">
        <v>125</v>
      </c>
    </row>
    <row r="48" ht="15.75" customHeight="1">
      <c r="B48" s="22" t="s">
        <v>128</v>
      </c>
      <c r="C48" s="10" t="s">
        <v>130</v>
      </c>
    </row>
    <row r="49" ht="15.75" customHeight="1">
      <c r="B49" s="22" t="s">
        <v>133</v>
      </c>
      <c r="C49" s="10" t="s">
        <v>135</v>
      </c>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0" topLeftCell="A11" activePane="bottomLeft" state="frozen"/>
      <selection activeCell="B12" sqref="B12" pane="bottomLeft"/>
    </sheetView>
  </sheetViews>
  <sheetFormatPr customHeight="1" defaultColWidth="14.43" defaultRowHeight="15.0"/>
  <cols>
    <col customWidth="1" min="1" max="1" width="2.0"/>
    <col customWidth="1" min="2" max="2" width="42.0"/>
    <col customWidth="1" min="3" max="3" width="46.0"/>
    <col customWidth="1" min="4" max="4" width="48.0"/>
    <col customWidth="1" min="5" max="26" width="8.71"/>
  </cols>
  <sheetData>
    <row r="6">
      <c r="B6" s="6" t="s">
        <v>11</v>
      </c>
    </row>
    <row r="7">
      <c r="B7" s="8" t="s">
        <v>21</v>
      </c>
    </row>
    <row r="8">
      <c r="B8" s="4" t="s">
        <v>24</v>
      </c>
    </row>
    <row r="9">
      <c r="B9" s="11" t="s">
        <v>25</v>
      </c>
    </row>
    <row r="11">
      <c r="B11" s="3" t="s">
        <v>29</v>
      </c>
    </row>
    <row r="13">
      <c r="B13" s="13" t="s">
        <v>32</v>
      </c>
      <c r="C13" s="15"/>
    </row>
    <row r="14">
      <c r="B14" s="13" t="s">
        <v>41</v>
      </c>
      <c r="C14" s="15"/>
      <c r="D14" s="19" t="s">
        <v>42</v>
      </c>
    </row>
    <row r="15">
      <c r="B15" s="13" t="s">
        <v>55</v>
      </c>
      <c r="C15" s="15"/>
    </row>
    <row r="16">
      <c r="B16" s="13" t="s">
        <v>57</v>
      </c>
      <c r="C16" s="15"/>
    </row>
    <row r="18">
      <c r="B18" s="3" t="s">
        <v>59</v>
      </c>
    </row>
    <row r="20">
      <c r="B20" s="21" t="s">
        <v>62</v>
      </c>
      <c r="C20" s="23" t="s">
        <v>73</v>
      </c>
    </row>
    <row r="21" ht="15.75" customHeight="1">
      <c r="B21" s="21" t="s">
        <v>84</v>
      </c>
      <c r="C21" s="23" t="s">
        <v>73</v>
      </c>
      <c r="D21" s="19" t="s">
        <v>87</v>
      </c>
    </row>
    <row r="22" ht="15.75" customHeight="1">
      <c r="B22" s="21" t="s">
        <v>90</v>
      </c>
      <c r="C22" s="23" t="s">
        <v>73</v>
      </c>
    </row>
    <row r="23" ht="15.75" customHeight="1">
      <c r="B23" s="21" t="s">
        <v>92</v>
      </c>
      <c r="C23" s="23" t="s">
        <v>73</v>
      </c>
    </row>
    <row r="24" ht="15.75" customHeight="1">
      <c r="B24" s="21" t="s">
        <v>98</v>
      </c>
      <c r="C24" s="23" t="s">
        <v>73</v>
      </c>
    </row>
    <row r="25" ht="15.75" customHeight="1">
      <c r="B25" s="21" t="s">
        <v>101</v>
      </c>
      <c r="C25" s="23" t="s">
        <v>73</v>
      </c>
    </row>
    <row r="26" ht="15.75" customHeight="1">
      <c r="B26" s="21" t="s">
        <v>104</v>
      </c>
      <c r="C26" s="23" t="s">
        <v>73</v>
      </c>
    </row>
    <row r="27" ht="15.75" customHeight="1">
      <c r="B27" s="21" t="s">
        <v>107</v>
      </c>
      <c r="C27" s="23" t="s">
        <v>73</v>
      </c>
    </row>
    <row r="28" ht="15.75" customHeight="1">
      <c r="B28" s="21" t="s">
        <v>110</v>
      </c>
      <c r="C28" s="23" t="s">
        <v>73</v>
      </c>
      <c r="D28" s="19" t="s">
        <v>114</v>
      </c>
    </row>
    <row r="29" ht="15.75" customHeight="1">
      <c r="B29" s="21" t="s">
        <v>120</v>
      </c>
      <c r="C29" s="23" t="s">
        <v>73</v>
      </c>
    </row>
    <row r="30" ht="15.75" customHeight="1">
      <c r="C30" s="24"/>
    </row>
    <row r="31" ht="15.75" customHeight="1">
      <c r="B31" s="3" t="s">
        <v>134</v>
      </c>
      <c r="C31" s="24"/>
    </row>
    <row r="32" ht="15.75" customHeight="1">
      <c r="C32" s="24"/>
    </row>
    <row r="33" ht="15.75" customHeight="1">
      <c r="B33" s="21" t="s">
        <v>139</v>
      </c>
      <c r="C33" s="23" t="s">
        <v>73</v>
      </c>
    </row>
    <row r="34" ht="15.75" customHeight="1">
      <c r="B34" s="21" t="s">
        <v>141</v>
      </c>
      <c r="C34" s="23" t="s">
        <v>73</v>
      </c>
      <c r="D34" s="19" t="s">
        <v>143</v>
      </c>
    </row>
    <row r="35" ht="15.75" customHeight="1">
      <c r="B35" s="21" t="s">
        <v>146</v>
      </c>
      <c r="C35" s="23" t="s">
        <v>73</v>
      </c>
      <c r="D35" s="19" t="s">
        <v>150</v>
      </c>
    </row>
    <row r="36" ht="15.75" customHeight="1">
      <c r="B36" s="21" t="s">
        <v>151</v>
      </c>
      <c r="C36" s="23" t="s">
        <v>73</v>
      </c>
      <c r="D36" s="19" t="s">
        <v>152</v>
      </c>
    </row>
    <row r="37" ht="15.75" customHeight="1">
      <c r="B37" s="21" t="s">
        <v>153</v>
      </c>
      <c r="C37" s="23" t="s">
        <v>73</v>
      </c>
      <c r="D37" s="19" t="s">
        <v>156</v>
      </c>
    </row>
    <row r="38" ht="15.75" customHeight="1">
      <c r="B38" s="21" t="s">
        <v>159</v>
      </c>
      <c r="C38" s="23" t="s">
        <v>73</v>
      </c>
      <c r="D38" s="19" t="s">
        <v>161</v>
      </c>
    </row>
    <row r="39" ht="15.75" customHeight="1">
      <c r="B39" s="21" t="s">
        <v>162</v>
      </c>
      <c r="C39" s="23" t="s">
        <v>73</v>
      </c>
      <c r="D39" s="19" t="s">
        <v>163</v>
      </c>
    </row>
    <row r="40" ht="15.75" customHeight="1">
      <c r="C40" s="24"/>
    </row>
    <row r="41" ht="15.75" customHeight="1">
      <c r="B41" s="3" t="s">
        <v>164</v>
      </c>
      <c r="C41" s="24"/>
    </row>
    <row r="42" ht="15.75" customHeight="1">
      <c r="C42" s="24"/>
    </row>
    <row r="43" ht="15.75" customHeight="1">
      <c r="B43" s="21" t="s">
        <v>166</v>
      </c>
      <c r="C43" s="23" t="s">
        <v>73</v>
      </c>
      <c r="D43" s="19" t="s">
        <v>167</v>
      </c>
    </row>
    <row r="44" ht="15.75" customHeight="1">
      <c r="B44" s="21" t="s">
        <v>169</v>
      </c>
      <c r="C44" s="23" t="s">
        <v>73</v>
      </c>
      <c r="D44" s="19" t="s">
        <v>171</v>
      </c>
    </row>
    <row r="45" ht="15.75" customHeight="1">
      <c r="B45" s="21" t="s">
        <v>173</v>
      </c>
      <c r="C45" s="23" t="s">
        <v>73</v>
      </c>
      <c r="D45" s="19" t="s">
        <v>174</v>
      </c>
    </row>
    <row r="46" ht="15.75" customHeight="1">
      <c r="B46" s="21" t="s">
        <v>175</v>
      </c>
      <c r="C46" s="23" t="s">
        <v>73</v>
      </c>
      <c r="D46" s="19" t="s">
        <v>176</v>
      </c>
    </row>
    <row r="47" ht="15.75" customHeight="1">
      <c r="B47" s="21" t="s">
        <v>178</v>
      </c>
      <c r="C47" s="23" t="s">
        <v>73</v>
      </c>
      <c r="D47" s="19" t="s">
        <v>182</v>
      </c>
    </row>
    <row r="48" ht="15.75" customHeight="1">
      <c r="B48" s="21" t="s">
        <v>185</v>
      </c>
      <c r="C48" s="23" t="s">
        <v>73</v>
      </c>
    </row>
    <row r="49" ht="15.75" customHeight="1">
      <c r="B49" s="21" t="s">
        <v>187</v>
      </c>
      <c r="C49" s="23" t="s">
        <v>73</v>
      </c>
      <c r="D49" s="19" t="s">
        <v>189</v>
      </c>
    </row>
    <row r="50" ht="15.75" customHeight="1">
      <c r="B50" s="21" t="s">
        <v>190</v>
      </c>
      <c r="C50" s="23" t="s">
        <v>73</v>
      </c>
      <c r="D50" s="19" t="s">
        <v>191</v>
      </c>
    </row>
    <row r="51" ht="15.75" customHeight="1">
      <c r="B51" s="21" t="s">
        <v>192</v>
      </c>
      <c r="C51" s="23" t="s">
        <v>73</v>
      </c>
    </row>
    <row r="52" ht="15.75" customHeight="1">
      <c r="B52" s="21" t="s">
        <v>197</v>
      </c>
      <c r="C52" s="23" t="s">
        <v>73</v>
      </c>
      <c r="D52" s="19" t="s">
        <v>198</v>
      </c>
    </row>
    <row r="53" ht="15.75" customHeight="1">
      <c r="B53" s="21" t="s">
        <v>199</v>
      </c>
      <c r="C53" s="23" t="s">
        <v>73</v>
      </c>
      <c r="D53" s="19" t="s">
        <v>200</v>
      </c>
    </row>
    <row r="54" ht="15.75" customHeight="1"/>
    <row r="55" ht="15.75" customHeight="1">
      <c r="B55" s="3" t="s">
        <v>202</v>
      </c>
    </row>
    <row r="56" ht="15.75" customHeight="1"/>
    <row r="57" ht="33.75" customHeight="1">
      <c r="B57" s="13" t="s">
        <v>209</v>
      </c>
      <c r="C57" s="15"/>
      <c r="D57" s="19" t="s">
        <v>212</v>
      </c>
    </row>
    <row r="58" ht="33.75" customHeight="1">
      <c r="B58" s="13" t="s">
        <v>214</v>
      </c>
      <c r="C58" s="15"/>
      <c r="D58" s="19" t="s">
        <v>212</v>
      </c>
    </row>
    <row r="59" ht="33.75" customHeight="1">
      <c r="B59" s="13" t="s">
        <v>215</v>
      </c>
      <c r="C59" s="15"/>
      <c r="D59" s="19" t="s">
        <v>212</v>
      </c>
    </row>
    <row r="60" ht="33.75" customHeight="1">
      <c r="B60" s="13" t="s">
        <v>217</v>
      </c>
      <c r="C60" s="15"/>
      <c r="D60" s="19" t="s">
        <v>212</v>
      </c>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C20:C53">
      <formula1>"Yes,No"</formula1>
    </dataValidation>
  </dataValidation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6.0" topLeftCell="A7" activePane="bottomLeft" state="frozen"/>
      <selection activeCell="B8" sqref="B8" pane="bottomLeft"/>
    </sheetView>
  </sheetViews>
  <sheetFormatPr customHeight="1" defaultColWidth="14.43" defaultRowHeight="15.0"/>
  <cols>
    <col customWidth="1" min="1" max="1" width="2.0"/>
    <col customWidth="1" min="2" max="2" width="62.0"/>
    <col customWidth="1" min="3" max="3" width="26.0"/>
    <col customWidth="1" min="4" max="4" width="44.0"/>
    <col customWidth="1" min="5" max="26" width="8.71"/>
  </cols>
  <sheetData>
    <row r="2">
      <c r="B2" s="6" t="s">
        <v>344</v>
      </c>
    </row>
    <row r="3">
      <c r="B3" s="8" t="s">
        <v>347</v>
      </c>
    </row>
    <row r="4">
      <c r="B4" s="4" t="s">
        <v>352</v>
      </c>
    </row>
    <row r="5">
      <c r="B5" s="11" t="s">
        <v>356</v>
      </c>
    </row>
    <row r="7">
      <c r="B7" s="3" t="s">
        <v>29</v>
      </c>
    </row>
    <row r="9">
      <c r="B9" s="10" t="s">
        <v>32</v>
      </c>
      <c r="C9" s="15"/>
    </row>
    <row r="10">
      <c r="B10" s="10" t="s">
        <v>367</v>
      </c>
      <c r="C10" s="15"/>
    </row>
    <row r="11">
      <c r="B11" s="10" t="s">
        <v>369</v>
      </c>
      <c r="C11" s="15"/>
    </row>
    <row r="12">
      <c r="B12" s="10" t="s">
        <v>371</v>
      </c>
      <c r="C12" s="15"/>
    </row>
    <row r="14">
      <c r="B14" s="3" t="s">
        <v>376</v>
      </c>
    </row>
    <row r="16">
      <c r="B16" s="10" t="s">
        <v>377</v>
      </c>
      <c r="C16" s="15"/>
      <c r="D16" s="19" t="s">
        <v>378</v>
      </c>
    </row>
    <row r="17">
      <c r="B17" s="10" t="s">
        <v>379</v>
      </c>
      <c r="C17" s="15"/>
      <c r="D17" s="19" t="s">
        <v>378</v>
      </c>
    </row>
    <row r="18">
      <c r="B18" s="10" t="s">
        <v>381</v>
      </c>
      <c r="C18" s="15"/>
      <c r="D18" s="19" t="s">
        <v>378</v>
      </c>
    </row>
    <row r="19">
      <c r="B19" s="10" t="s">
        <v>385</v>
      </c>
      <c r="C19" s="15"/>
      <c r="D19" s="19" t="s">
        <v>378</v>
      </c>
    </row>
    <row r="20">
      <c r="B20" s="10" t="s">
        <v>388</v>
      </c>
      <c r="C20" s="15"/>
      <c r="D20" s="19" t="s">
        <v>378</v>
      </c>
    </row>
    <row r="21" ht="15.75" customHeight="1">
      <c r="B21" s="10" t="s">
        <v>390</v>
      </c>
      <c r="C21" s="15"/>
      <c r="D21" s="19" t="s">
        <v>378</v>
      </c>
    </row>
    <row r="22" ht="15.75" customHeight="1">
      <c r="B22" s="10" t="s">
        <v>393</v>
      </c>
      <c r="C22" s="15"/>
      <c r="D22" s="19" t="s">
        <v>378</v>
      </c>
    </row>
    <row r="23" ht="15.75" customHeight="1">
      <c r="B23" s="10" t="s">
        <v>396</v>
      </c>
      <c r="C23" s="15"/>
      <c r="D23" s="19" t="s">
        <v>378</v>
      </c>
    </row>
    <row r="24" ht="15.75" customHeight="1">
      <c r="B24" s="10" t="s">
        <v>398</v>
      </c>
      <c r="C24" s="15"/>
      <c r="D24" s="19" t="s">
        <v>378</v>
      </c>
    </row>
    <row r="25" ht="15.75" customHeight="1"/>
    <row r="26" ht="15.75" customHeight="1">
      <c r="B26" s="3" t="s">
        <v>399</v>
      </c>
    </row>
    <row r="27" ht="15.75" customHeight="1"/>
    <row r="28" ht="15.75" customHeight="1">
      <c r="B28" s="10" t="s">
        <v>400</v>
      </c>
      <c r="C28" s="15" t="s">
        <v>73</v>
      </c>
      <c r="D28" s="19" t="s">
        <v>407</v>
      </c>
    </row>
    <row r="29" ht="15.75" customHeight="1">
      <c r="B29" s="10" t="s">
        <v>408</v>
      </c>
      <c r="C29" s="15" t="s">
        <v>73</v>
      </c>
    </row>
    <row r="30" ht="15.75" customHeight="1">
      <c r="B30" s="10" t="s">
        <v>412</v>
      </c>
      <c r="C30" s="15" t="s">
        <v>73</v>
      </c>
    </row>
    <row r="31" ht="15.75" customHeight="1">
      <c r="B31" s="10" t="s">
        <v>414</v>
      </c>
      <c r="C31" s="15" t="s">
        <v>73</v>
      </c>
      <c r="D31" s="19" t="s">
        <v>420</v>
      </c>
    </row>
    <row r="32" ht="15.75" customHeight="1"/>
    <row r="33" ht="15.75" customHeight="1">
      <c r="B33" s="3" t="s">
        <v>422</v>
      </c>
    </row>
    <row r="34" ht="15.75" customHeight="1"/>
    <row r="35" ht="15.75" customHeight="1">
      <c r="B35" s="10" t="s">
        <v>425</v>
      </c>
      <c r="C35" s="15"/>
      <c r="D35" s="19" t="s">
        <v>427</v>
      </c>
    </row>
    <row r="36" ht="15.75" customHeight="1">
      <c r="B36" s="10" t="s">
        <v>430</v>
      </c>
      <c r="C36" s="15"/>
    </row>
    <row r="37" ht="15.75" customHeight="1">
      <c r="B37" s="10" t="s">
        <v>431</v>
      </c>
      <c r="C37" s="15"/>
    </row>
    <row r="38" ht="15.75" customHeight="1">
      <c r="B38" s="10" t="s">
        <v>435</v>
      </c>
      <c r="C38" s="15"/>
    </row>
    <row r="39" ht="15.75" customHeight="1">
      <c r="B39" s="10" t="s">
        <v>437</v>
      </c>
      <c r="C39" s="15"/>
      <c r="D39" s="19" t="s">
        <v>438</v>
      </c>
    </row>
    <row r="40" ht="15.75" customHeight="1">
      <c r="B40" s="10" t="s">
        <v>439</v>
      </c>
      <c r="C40" s="15"/>
      <c r="D40" s="19" t="s">
        <v>438</v>
      </c>
    </row>
    <row r="41" ht="15.75" customHeight="1">
      <c r="B41" s="10" t="s">
        <v>444</v>
      </c>
      <c r="C41" s="15"/>
      <c r="D41" s="19" t="s">
        <v>446</v>
      </c>
    </row>
    <row r="42" ht="15.75" customHeight="1">
      <c r="B42" s="10" t="s">
        <v>447</v>
      </c>
      <c r="C42" s="15"/>
      <c r="D42" s="19" t="s">
        <v>448</v>
      </c>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C16:C24">
      <formula1>"High,Medium,Low"</formula1>
    </dataValidation>
    <dataValidation type="list" allowBlank="1" sqref="C28:C31">
      <formula1>"Yes,No"</formula1>
    </dataValidation>
  </dataValidations>
  <printOptions/>
  <pageMargins bottom="1.0" footer="0.0" header="0.0" left="0.75" right="0.75" top="1.0"/>
  <pageSetup paperSize="9" orientation="portrait"/>
  <drawing r:id="rId1"/>
</worksheet>
</file>